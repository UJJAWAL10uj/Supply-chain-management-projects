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ummary" sheetId="2" r:id="rId6"/>
    <sheet state="visible" name="Inputs" sheetId="3" r:id="rId7"/>
    <sheet state="visible" name="Scenarios" sheetId="4" r:id="rId8"/>
    <sheet state="visible" name="Sensitivity" sheetId="5" r:id="rId9"/>
    <sheet state="visible" name="Incoterms" sheetId="6" r:id="rId10"/>
    <sheet state="visible" name="Calc" sheetId="7" r:id="rId11"/>
    <sheet state="visible" name="Sources" sheetId="8" r:id="rId12"/>
  </sheets>
  <definedNames/>
  <calcPr/>
</workbook>
</file>

<file path=xl/sharedStrings.xml><?xml version="1.0" encoding="utf-8"?>
<sst xmlns="http://schemas.openxmlformats.org/spreadsheetml/2006/main" count="448" uniqueCount="326">
  <si>
    <t>Inputs and assumptions</t>
  </si>
  <si>
    <t>Scenario levers</t>
  </si>
  <si>
    <t>Blue = input you can change. Yellow = key lever. All USD unless stated.</t>
  </si>
  <si>
    <t>TCO &amp; Scenario Model: Aluminium Smartphone Enclosure, India vs China vs Vietnam</t>
  </si>
  <si>
    <t>Global parameters</t>
  </si>
  <si>
    <t>Independent academic project built from public data and stated assumptions. Not Apple data.</t>
  </si>
  <si>
    <t>Each row is one scenario. Multipliers: 1.00 = no change. BCD change is in percentage points added to the import duty rate (floored at 0%). Blue cells can be edited.</t>
  </si>
  <si>
    <t>Parameter</t>
  </si>
  <si>
    <t>Value</t>
  </si>
  <si>
    <t>Unit</t>
  </si>
  <si>
    <t>Basis / source</t>
  </si>
  <si>
    <t>Finished part weight</t>
  </si>
  <si>
    <t>Question</t>
  </si>
  <si>
    <t>g</t>
  </si>
  <si>
    <t>Where should a CNC-machined aluminium enclosure be sourced from to be delivered to a final-assembly plant near Chennai: a local Indian supplier, or imports from China or Vietnam? And how robust is the answer to tariff, freight, volume, metal-price, incentive and yield shocks?</t>
  </si>
  <si>
    <t>Assumption: typical smartphone-class machined enclosure</t>
  </si>
  <si>
    <t>Scenario</t>
  </si>
  <si>
    <t>Blank (billet/extrusion) weight</t>
  </si>
  <si>
    <t>Import duty change (pts)</t>
  </si>
  <si>
    <t>Freight multiplier</t>
  </si>
  <si>
    <t>Assumption: ~3:1 buy-to-fly ratio typical for CNC unibody parts</t>
  </si>
  <si>
    <t>Volume multiplier</t>
  </si>
  <si>
    <t>Chip-scrap recovery value (% of LME)</t>
  </si>
  <si>
    <t>Aluminium price multiplier</t>
  </si>
  <si>
    <t>ECMS pass-through multiplier</t>
  </si>
  <si>
    <t>India yield change (pts)</t>
  </si>
  <si>
    <t>Part modelled</t>
  </si>
  <si>
    <t>What it represents</t>
  </si>
  <si>
    <t>Unibody-style CNC-machined 6xxx aluminium enclosure, 28 g finished, 85 g blank, anodised. Delivered cost to the assembly plant (Chennai area), USD per unit, at 5 million units per year per supplier line.</t>
  </si>
  <si>
    <t>%</t>
  </si>
  <si>
    <t>Assumption: machining chips resold at a discount to LME</t>
  </si>
  <si>
    <t>LME aluminium cash price</t>
  </si>
  <si>
    <t>Cost layers</t>
  </si>
  <si>
    <t>Base case</t>
  </si>
  <si>
    <t>Net material (after chip-scrap credit) &gt; machining &gt; direct labour &gt; finishing &gt; yield loss &gt; fixed cost per unit (tooling + overhead) &gt; supplier margin &gt; ECMS incentive (India only) &gt; freight &gt; insurance &gt; Basic Customs Duty + Social Welfare Surcharge + other duties &gt; clearance and haulage &gt; pipeline carrying cost.</t>
  </si>
  <si>
    <t>USD/t</t>
  </si>
  <si>
    <t>Source: AlCircle, LME cash offer USD 3,134.5/t on 6 Oct 2026 (see Sources)</t>
  </si>
  <si>
    <t>Annual volume per supplier line (base)</t>
  </si>
  <si>
    <t>units/yr</t>
  </si>
  <si>
    <t>Assumption: single dedicated line</t>
  </si>
  <si>
    <t>Cost of capital (annual)</t>
  </si>
  <si>
    <t>Sheets</t>
  </si>
  <si>
    <t>Inputs (all assumptions) &gt; Scenarios (11 shock definitions) &gt; Calc (33-column engine, same formula in every column) &gt; Summary (results, cost stack, charts) &gt; Sensitivity (two-way grids and break-evens) &gt; Incoterms (FOB vs CIF vs DDP, who pays what) &gt; Sources (what is sourced vs assumed).</t>
  </si>
  <si>
    <t>Assumption: used for pipeline inventory carrying cost</t>
  </si>
  <si>
    <t>Tooling amortisation period</t>
  </si>
  <si>
    <t>years</t>
  </si>
  <si>
    <t>Assumption: product life of one enclosure generation</t>
  </si>
  <si>
    <t>Packed chargeable weight per unit</t>
  </si>
  <si>
    <t>How to use</t>
  </si>
  <si>
    <t>kg</t>
  </si>
  <si>
    <t>Change only BLUE cells on Inputs or Scenarios. Everything else recalculates. Yellow cells mark the key levers. To test your own idea, overwrite a scenario row on the Scenarios sheet.</t>
  </si>
  <si>
    <t>Assumption: part plus protective packaging</t>
  </si>
  <si>
    <t>Social Welfare Surcharge (% of BCD)</t>
  </si>
  <si>
    <t>Current duty, freight, metal price and incentive terms</t>
  </si>
  <si>
    <t>India customs: SWS is 10% of BCD (verify current rate)</t>
  </si>
  <si>
    <t>Seller markup on freight + insurance under CIF</t>
  </si>
  <si>
    <t>Colour code</t>
  </si>
  <si>
    <t>Blue = hard-coded input. Black = formula. Green = link to another sheet. Yellow fill = key assumption or lever.</t>
  </si>
  <si>
    <t>Assumption: seller margin on arranging carriage</t>
  </si>
  <si>
    <t>Seller markup on duty, clearance and carrying under DDP</t>
  </si>
  <si>
    <t>Import duty +10 pts</t>
  </si>
  <si>
    <t>Assumption: seller margin on carrying duty and clearance risk</t>
  </si>
  <si>
    <t>Country parameters (delivered to assembly plant near Chennai)</t>
  </si>
  <si>
    <t>Important limitation</t>
  </si>
  <si>
    <t>Process inputs (cycle time, machine rate, labour rate, yield, tooling, freight rates) are illustrative values in plausible ranges, NOT quotes. Public anchors (LME price, ECMS incentive range, tariff regime) are listed on the Sources sheet. Replace the blue cells with RFQ or benchmark data before drawing real conclusions.</t>
  </si>
  <si>
    <t>India raises BCD on imported enclosures to protect local capacity</t>
  </si>
  <si>
    <t>India</t>
  </si>
  <si>
    <t>China</t>
  </si>
  <si>
    <t>Vietnam</t>
  </si>
  <si>
    <t>Imported into India plant? (1 = yes, 0 = local)</t>
  </si>
  <si>
    <t>flag</t>
  </si>
  <si>
    <t>Simplifications</t>
  </si>
  <si>
    <t>Structural: India supplier is local, others ship in</t>
  </si>
  <si>
    <t>Import duty exempt (BCD to 0)</t>
  </si>
  <si>
    <t>Regional alloy / fabrication premium over LME</t>
  </si>
  <si>
    <t>IGST/GST is excluded because it is creditable to a registered manufacturer. Scrapped parts are not credited with metal value (conservative). Anti-dumping duty is an input set to zero. Vietnam BCD of 5% is a placeholder for a possible ASEAN-India FTA preferential rate and must be verified against HS code and rules of origin. US tariffs on the finished device are discussed in the memo, not modelled here.</t>
  </si>
  <si>
    <t>Assumption: India includes duty on imported primary metal</t>
  </si>
  <si>
    <t>Duty cut to zero on imported parts (e.g. trade deal or exemption)</t>
  </si>
  <si>
    <t>CNC cycle time</t>
  </si>
  <si>
    <t>min/unit</t>
  </si>
  <si>
    <t>Freight spike x2.5</t>
  </si>
  <si>
    <t>Assumption: India slightly slower on learning curve</t>
  </si>
  <si>
    <t>Machine-hour rate (depreciation, power, tooling)</t>
  </si>
  <si>
    <t>USD/hr</t>
  </si>
  <si>
    <t>Route disruption or air-freight capacity squeeze</t>
  </si>
  <si>
    <t>Assumption: India higher capital cost and import duty on machines</t>
  </si>
  <si>
    <t>Operators per machine</t>
  </si>
  <si>
    <t>ratio</t>
  </si>
  <si>
    <t>Assumption: 1 operator tends 4 machines</t>
  </si>
  <si>
    <t>Direct labour rate</t>
  </si>
  <si>
    <t>Volume -10%</t>
  </si>
  <si>
    <t>Assumption: loaded hourly cost, industrial region</t>
  </si>
  <si>
    <t>Anodising / finishing cost</t>
  </si>
  <si>
    <t>USD/unit</t>
  </si>
  <si>
    <t>Weaker demand; fixed cost spread over fewer units</t>
  </si>
  <si>
    <t>Assumption</t>
  </si>
  <si>
    <t>First-pass yield (base)</t>
  </si>
  <si>
    <t>Volume +10%</t>
  </si>
  <si>
    <t>Assumption: India ramp-up yield below mature China line</t>
  </si>
  <si>
    <t>Tooling and fixtures capex</t>
  </si>
  <si>
    <t>USD</t>
  </si>
  <si>
    <t>Stronger demand; better fixed-cost absorption</t>
  </si>
  <si>
    <t>Fixed overhead</t>
  </si>
  <si>
    <t>USD/yr</t>
  </si>
  <si>
    <t>Aluminium +15%</t>
  </si>
  <si>
    <t>Assumption: rent, supervision, QA</t>
  </si>
  <si>
    <t>Supplier margin on cost</t>
  </si>
  <si>
    <t>Metal price rally</t>
  </si>
  <si>
    <t>Sea / road freight rate</t>
  </si>
  <si>
    <t>USD/kg</t>
  </si>
  <si>
    <t>Assumption: India = trucking to plant</t>
  </si>
  <si>
    <t>Air freight rate</t>
  </si>
  <si>
    <t>ECMS delayed (0% pass-through)</t>
  </si>
  <si>
    <t>Air share of shipments</t>
  </si>
  <si>
    <t>Incentive delayed or not passed to the buyer</t>
  </si>
  <si>
    <t>Assumption: part of volume flown to protect launch schedules</t>
  </si>
  <si>
    <t>Transit days by sea / road</t>
  </si>
  <si>
    <t>days</t>
  </si>
  <si>
    <t>India yield -4 pts</t>
  </si>
  <si>
    <t>Transit days by air</t>
  </si>
  <si>
    <t>Slower yield ramp at the Indian supplier</t>
  </si>
  <si>
    <t>Cargo insurance</t>
  </si>
  <si>
    <t>% of price</t>
  </si>
  <si>
    <t>Import-shock stack (duty +10, freight x2.5, Al +15%)</t>
  </si>
  <si>
    <t>Basic Customs Duty (BCD) into India</t>
  </si>
  <si>
    <t>Everything goes wrong for importers at once</t>
  </si>
  <si>
    <t>10% on metal mechanical phone parts per Jan 2024 notice; VERIFY current CBIC rate. Vietnam 5% = placeholder for FTA rate</t>
  </si>
  <si>
    <t>Additional duties (anti-dumping / safeguard)</t>
  </si>
  <si>
    <t>% of CIF</t>
  </si>
  <si>
    <t>Input kept at zero; use to test trade-remedy risk</t>
  </si>
  <si>
    <t>India-risk stack (vol -10%, ECMS 0%, yield -4 pts)</t>
  </si>
  <si>
    <t>Customs clearance and handling</t>
  </si>
  <si>
    <t>Port-to-plant haulage</t>
  </si>
  <si>
    <t>Everything goes wrong for the local supplier at once</t>
  </si>
  <si>
    <t>Assumption: Chennai port is close to the plant</t>
  </si>
  <si>
    <t>ECMS turnover-linked incentive rate</t>
  </si>
  <si>
    <t>% of sales</t>
  </si>
  <si>
    <t>ECMS enclosures: 6-8% initially, falling to 3-5% (Vision IAS summary). 7% = midpoint</t>
  </si>
  <si>
    <t>Share of incentive passed to buyer</t>
  </si>
  <si>
    <t>Assumption: negotiated; the rest stays with the supplier</t>
  </si>
  <si>
    <t>Sensitivity grids and break-even points</t>
  </si>
  <si>
    <t>India advantage = China imported landed cost minus India local landed cost. Positive (green) = India local is cheaper.</t>
  </si>
  <si>
    <t>Reference values pulled from Calc (base case)</t>
  </si>
  <si>
    <t>China: net ex-works price</t>
  </si>
  <si>
    <t>China: cargo insurance</t>
  </si>
  <si>
    <t>China: international freight (base)</t>
  </si>
  <si>
    <t>China: port-to-plant haulage</t>
  </si>
  <si>
    <t>China: pipeline carrying cost</t>
  </si>
  <si>
    <t>China: additional duty rate</t>
  </si>
  <si>
    <t>China: clearance rate</t>
  </si>
  <si>
    <t>China: base BCD rate</t>
  </si>
  <si>
    <t>India local: landed cost (base)</t>
  </si>
  <si>
    <t>China imported: landed cost (base)</t>
  </si>
  <si>
    <t>Results: landed cost of an aluminium enclosure delivered near Chennai (USD per unit)</t>
  </si>
  <si>
    <t>Grid A: India advantage (USD/unit) vs import duty rate (rows) and freight multiplier (columns)</t>
  </si>
  <si>
    <t>All values are formulas driven by the Inputs and Scenarios sheets. Green cell = cheapest source in that scenario.</t>
  </si>
  <si>
    <t>BCD on China imports (rows) / Freight multiplier (columns)</t>
  </si>
  <si>
    <t>Landed cost per unit by scenario</t>
  </si>
  <si>
    <t>Local</t>
  </si>
  <si>
    <t>Import</t>
  </si>
  <si>
    <t>Cheapest source</t>
  </si>
  <si>
    <t>India vs China (%)</t>
  </si>
  <si>
    <t>India vs Vietnam (%)</t>
  </si>
  <si>
    <t>Break-even BCD on China imports at base freight (India local = China)</t>
  </si>
  <si>
    <t>Break-even freight multiplier at base BCD (India local = China)</t>
  </si>
  <si>
    <t>Check: grid formula at base BCD and 1.0x freight minus Calc (should be 0)</t>
  </si>
  <si>
    <t>Grid B: India advantage (USD/unit) vs India first-pass yield (rows) and ECMS pass-through to buyer (columns)</t>
  </si>
  <si>
    <t>India reference values (base case)</t>
  </si>
  <si>
    <t>India: net material + conversion</t>
  </si>
  <si>
    <t>India: fixed cost per unit</t>
  </si>
  <si>
    <t>India: supplier margin</t>
  </si>
  <si>
    <t>India: ECMS incentive rate</t>
  </si>
  <si>
    <t>India: insurance + carrying factor (on price)</t>
  </si>
  <si>
    <t>India: international freight (trucking)</t>
  </si>
  <si>
    <t>India yield (rows) / ECMS pass-through (columns)</t>
  </si>
  <si>
    <t>Base-case headline metrics</t>
  </si>
  <si>
    <t>Cheapest source (base case)</t>
  </si>
  <si>
    <t>India local landed cost (USD/unit)</t>
  </si>
  <si>
    <t>China imported landed cost (USD/unit)</t>
  </si>
  <si>
    <t>India premium vs China (%)</t>
  </si>
  <si>
    <t>Break-even import duty (BCD) at which India local = China</t>
  </si>
  <si>
    <t>Break-even freight multiplier at which India local = China</t>
  </si>
  <si>
    <t>Annual spend gap, India minus China, at base volume (USD m)</t>
  </si>
  <si>
    <t>Check: grid formula at base yield and pass-through minus Calc India landed (should be 0)</t>
  </si>
  <si>
    <t>Break-even India first-pass yield at which India local = China</t>
  </si>
  <si>
    <t>Break-even India yield at base ECMS pass-through (India local = China)</t>
  </si>
  <si>
    <t>Base-case cost stack (USD per unit)</t>
  </si>
  <si>
    <t>Component</t>
  </si>
  <si>
    <t>Check: India landed at the break-even yield minus China landed (should be 0)</t>
  </si>
  <si>
    <t>Net material</t>
  </si>
  <si>
    <t>Machining</t>
  </si>
  <si>
    <t>Direct labour</t>
  </si>
  <si>
    <t>Finishing</t>
  </si>
  <si>
    <t>Yield loss</t>
  </si>
  <si>
    <t>Fixed cost (tooling + overhead)</t>
  </si>
  <si>
    <t>Supplier margin</t>
  </si>
  <si>
    <t>ECMS incentive to buyer</t>
  </si>
  <si>
    <t>International freight</t>
  </si>
  <si>
    <t>Import duties (BCD + SWS + other)</t>
  </si>
  <si>
    <t>Clearance and haulage</t>
  </si>
  <si>
    <t>Pipeline carrying cost</t>
  </si>
  <si>
    <t>Total landed cost</t>
  </si>
  <si>
    <t>Check vs Calc (should be 0)</t>
  </si>
  <si>
    <t>Incoterms comparison: who pays what for an imported enclosure (USD per unit, base case)</t>
  </si>
  <si>
    <t>Pick the exporting country in the yellow cell. FOB = buyer arranges carriage. CIF = seller pays freight and insurance to the Indian port. DDP = seller delivers duty paid to the plant.</t>
  </si>
  <si>
    <t>Exporting country</t>
  </si>
  <si>
    <t>Cost elements and who bears them</t>
  </si>
  <si>
    <t>Cost element</t>
  </si>
  <si>
    <t>FOB: Seller</t>
  </si>
  <si>
    <t>FOB: Buyer</t>
  </si>
  <si>
    <t>CIF: Seller</t>
  </si>
  <si>
    <t>CIF: Buyer</t>
  </si>
  <si>
    <t>DDP: Seller</t>
  </si>
  <si>
    <t>DDP: Buyer</t>
  </si>
  <si>
    <t>Base value</t>
  </si>
  <si>
    <t>Ex-works price (net of any incentive)</t>
  </si>
  <si>
    <t>Customs clearance and port-to-plant haulage</t>
  </si>
  <si>
    <t>Pipeline carrying cost (inventory financing)</t>
  </si>
  <si>
    <t>Seller subtotal / Buyer subtotal (before markups)</t>
  </si>
  <si>
    <t>Calculation engine: one column per scenario x country (identical formulas in every column)</t>
  </si>
  <si>
    <t>Seller service markup passed to buyer</t>
  </si>
  <si>
    <t>Do not edit. Inputs come from the Inputs and Scenarios sheets. USD per unit unless stated.</t>
  </si>
  <si>
    <t>Total cost to buyer (USD/unit)</t>
  </si>
  <si>
    <t>FOB</t>
  </si>
  <si>
    <t>CIF</t>
  </si>
  <si>
    <t>DDP</t>
  </si>
  <si>
    <t>Premium vs FOB (%)</t>
  </si>
  <si>
    <t>Check: FOB total equals Calc landed cost (should be 0)</t>
  </si>
  <si>
    <t>Risk and control (qualitative)</t>
  </si>
  <si>
    <t>Risk transfers to buyer at</t>
  </si>
  <si>
    <t>Loading on vessel/aircraft at origin</t>
  </si>
  <si>
    <t>Delivery at the plant</t>
  </si>
  <si>
    <t>Who books and controls carriage</t>
  </si>
  <si>
    <t>Buyer</t>
  </si>
  <si>
    <t>Seller</t>
  </si>
  <si>
    <t>Who bears Indian duty-rate change risk</t>
  </si>
  <si>
    <t>Seller (until re-priced)</t>
  </si>
  <si>
    <t>Country</t>
  </si>
  <si>
    <t>Who handles Indian customs clearance</t>
  </si>
  <si>
    <t>Best fit when</t>
  </si>
  <si>
    <t>Buyer has scale freight contracts and customs expertise</t>
  </si>
  <si>
    <t>Seller is better placed to buy freight; buyer keeps duty control</t>
  </si>
  <si>
    <t>Buyer wants one landed price; accepts a premium for fewer touchpoints</t>
  </si>
  <si>
    <t>Lookup key</t>
  </si>
  <si>
    <t>Import duty change</t>
  </si>
  <si>
    <t>pts</t>
  </si>
  <si>
    <t>x</t>
  </si>
  <si>
    <t>India yield change</t>
  </si>
  <si>
    <t>COUNTRY INPUTS (looked up from Inputs)</t>
  </si>
  <si>
    <t>Imported into India plant? (1/0)</t>
  </si>
  <si>
    <t>What is sourced and what is assumed</t>
  </si>
  <si>
    <t>Retrieved 22 Oct 2026. Verify rates against the primary notification before relying on them.</t>
  </si>
  <si>
    <t>Input</t>
  </si>
  <si>
    <t>Status</t>
  </si>
  <si>
    <t>What the source says</t>
  </si>
  <si>
    <t>URL</t>
  </si>
  <si>
    <t>LME aluminium price</t>
  </si>
  <si>
    <t>Sourced</t>
  </si>
  <si>
    <t>LME cash offer USD 3,134.5/t on 6 Oct 2026</t>
  </si>
  <si>
    <t>https://www.alcircle.com/news/lme-aluminium-offer-price-rises-to-3-134-5-t-as-stocks-remain-unchanged-at-240-375t-121456</t>
  </si>
  <si>
    <t>ECMS incentive for enclosures</t>
  </si>
  <si>
    <t>Sourced (range)</t>
  </si>
  <si>
    <t>Electro-mechanicals and device enclosures get 6-8% turnover-linked incentive initially, 3-5% by end of scheme; 7% used as midpoint</t>
  </si>
  <si>
    <t>https://visionias.in/current-affairs/upsc-daily-news-summary/article/2025-04-09/the-hindu/schemes-in-news/govt-notifies-rs22919-crore-incentive-scheme-for-electronics-components</t>
  </si>
  <si>
    <t>ECMS covers mobile enclosures</t>
  </si>
  <si>
    <t>Cabinet-approved target segments include enclosures for mobile and IT hardware</t>
  </si>
  <si>
    <t>https://pmindia.gov.in/?p=16583068</t>
  </si>
  <si>
    <t>India BCD on metal phone parts</t>
  </si>
  <si>
    <t>Sourced (dated)</t>
  </si>
  <si>
    <t>BCD cut to 10% in Jan 2024 on mechanical items of plastic and metal; check the current CBIC schedule</t>
  </si>
  <si>
    <t>https://www.indiatvnews.com/topic/customs/news</t>
  </si>
  <si>
    <t>India supply-chain context</t>
  </si>
  <si>
    <t>Context</t>
  </si>
  <si>
    <t>Government urging deeper local component production (mechanicals, enclosures, batteries, chargers) before MacBook/iPad/Watch assembly</t>
  </si>
  <si>
    <t>https://www.storyboard18.com/brand-marketing/india-pushes-apple-suppliers-to-deepen-local-component-manufacturing-report-108791.htm</t>
  </si>
  <si>
    <t>India cost premium vs China</t>
  </si>
  <si>
    <t>Context (advocacy)</t>
  </si>
  <si>
    <t>Shareholder filing claims India/Vietnam production costs run 5-10% above China; treat as a claim, not a benchmark</t>
  </si>
  <si>
    <t>https://www.sec.gov/Archives/edgar/data/320193/000109690626000136/nlpc_px14a6g.htm</t>
  </si>
  <si>
    <t>US tariff regime (memo context)</t>
  </si>
  <si>
    <t>Section 301 forced-labor duty from 24 Jul 2026: India 10%, China and Vietnam 12.5%; China also keeps older Section 301 list duties</t>
  </si>
  <si>
    <t>https://gingercontrol.com/blog/importing-from-india-tariff-guide</t>
  </si>
  <si>
    <t>Cycle time, machine rate, labour rate, yield, tooling, overhead, margin, freight rates, transit days, insurance, clearance</t>
  </si>
  <si>
    <t>ASSUMPTION</t>
  </si>
  <si>
    <t>Illustrative values in plausible ranges. Replace with RFQ quotes, supplier cost breakdowns or benchmark studies before drawing real conclusions.</t>
  </si>
  <si>
    <t>n/a</t>
  </si>
  <si>
    <t>Alloy / fabrication premium</t>
  </si>
  <si>
    <t>min</t>
  </si>
  <si>
    <t>Machine-hour rate</t>
  </si>
  <si>
    <t>Finishing cost</t>
  </si>
  <si>
    <t>Tooling capex</t>
  </si>
  <si>
    <t>Sea / road rate</t>
  </si>
  <si>
    <t>Air rate</t>
  </si>
  <si>
    <t>Air share</t>
  </si>
  <si>
    <t>Transit days sea / road</t>
  </si>
  <si>
    <t>Transit days air</t>
  </si>
  <si>
    <t>Cargo insurance rate</t>
  </si>
  <si>
    <t>BCD base rate</t>
  </si>
  <si>
    <t>Additional duty rate</t>
  </si>
  <si>
    <t>Clearance rate</t>
  </si>
  <si>
    <t>Haulage</t>
  </si>
  <si>
    <t>ECMS incentive rate</t>
  </si>
  <si>
    <t>ECMS pass-through (base)</t>
  </si>
  <si>
    <t>COST BUILD-UP (USD per unit)</t>
  </si>
  <si>
    <t>Aluminium price incl. premium</t>
  </si>
  <si>
    <t>Gross material</t>
  </si>
  <si>
    <t>Chip-scrap credit</t>
  </si>
  <si>
    <t>Conversion subtotal</t>
  </si>
  <si>
    <t>Effective first-pass yield</t>
  </si>
  <si>
    <t>Yield-loss cost</t>
  </si>
  <si>
    <t>Fixed cost per unit (tooling + overhead)</t>
  </si>
  <si>
    <t>Total supplier cost</t>
  </si>
  <si>
    <t>Ex-works price before incentive</t>
  </si>
  <si>
    <t>ECMS incentive passed to buyer</t>
  </si>
  <si>
    <t>Net ex-works price</t>
  </si>
  <si>
    <t>LOGISTICS, DUTIES AND CARRYING COST</t>
  </si>
  <si>
    <t>Blended freight rate</t>
  </si>
  <si>
    <t>CIF / delivered value</t>
  </si>
  <si>
    <t>Effective BCD rate</t>
  </si>
  <si>
    <t>Basic Customs Duty</t>
  </si>
  <si>
    <t>Social Welfare Surcharge</t>
  </si>
  <si>
    <t>Additional duties</t>
  </si>
  <si>
    <t>TOTAL LANDED COST PER UNIT</t>
  </si>
  <si>
    <t>Landed cost excluding ECMS benefit</t>
  </si>
  <si>
    <t>Annual landed spend at scenario volume</t>
  </si>
  <si>
    <t>USD m</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</si>
</sst>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0.0%;\(0.0%\);\-"/>
    <numFmt numFmtId="166" formatCode="#,##0.00;\(#,##0.00\);\-"/>
    <numFmt numFmtId="167" formatCode="0.00\x"/>
    <numFmt numFmtId="168" formatCode="\$#,##0.00;&quot;($&quot;#,##0.00\);\-"/>
    <numFmt numFmtId="169" formatCode="\$#,##0;&quot;($&quot;#,##0\);\-"/>
    <numFmt numFmtId="170" formatCode="\$#,##0.000;&quot;($&quot;#,##0.000\);\-"/>
    <numFmt numFmtId="171" formatCode="0.000000"/>
    <numFmt numFmtId="172" formatCode="0.0000%"/>
    <numFmt numFmtId="173" formatCode="#,##0.0"/>
  </numFmts>
  <fonts count="15">
    <font>
      <sz val="11.0"/>
      <color theme="1"/>
      <name val="Calibri"/>
      <scheme val="minor"/>
    </font>
    <font>
      <color rgb="FF000000"/>
      <name val="Arial"/>
    </font>
    <font>
      <b/>
      <sz val="14.0"/>
      <color theme="1"/>
      <name val="Arial"/>
    </font>
    <font>
      <i/>
      <sz val="10.0"/>
      <color rgb="FF595959"/>
      <name val="Arial"/>
    </font>
    <font>
      <color theme="1"/>
      <name val="Arial"/>
    </font>
    <font>
      <b/>
      <sz val="14.0"/>
      <color rgb="FF000000"/>
      <name val="Arial"/>
    </font>
    <font>
      <b/>
      <sz val="10.0"/>
      <color theme="1"/>
      <name val="Arial"/>
    </font>
    <font>
      <i/>
      <sz val="10.0"/>
      <color rgb="FF000000"/>
      <name val="Arial"/>
    </font>
    <font>
      <sz val="11.0"/>
      <color theme="1"/>
      <name val="Arial"/>
    </font>
    <font>
      <b/>
      <sz val="10.0"/>
      <color rgb="FFFFFFFF"/>
      <name val="Arial"/>
    </font>
    <font>
      <sz val="10.0"/>
      <color rgb="FF000000"/>
      <name val="Arial"/>
    </font>
    <font>
      <b/>
      <sz val="10.0"/>
      <color rgb="FF000000"/>
      <name val="Arial"/>
    </font>
    <font>
      <sz val="10.0"/>
      <color rgb="FF0000FF"/>
      <name val="Arial"/>
    </font>
    <font>
      <sz val="10.0"/>
      <color rgb="FF008000"/>
      <name val="Arial"/>
    </font>
    <font/>
  </fonts>
  <fills count="6">
    <fill>
      <patternFill patternType="none"/>
    </fill>
    <fill>
      <patternFill patternType="lightGray"/>
    </fill>
    <fill>
      <patternFill patternType="solid">
        <fgColor rgb="FFD9E1F2"/>
        <bgColor rgb="FFD9E1F2"/>
      </patternFill>
    </fill>
    <fill>
      <patternFill patternType="solid">
        <fgColor rgb="FF1F3864"/>
        <bgColor rgb="FF1F3864"/>
      </patternFill>
    </fill>
    <fill>
      <patternFill patternType="solid">
        <fgColor rgb="FFFFFF00"/>
        <bgColor rgb="FFFFFF00"/>
      </patternFill>
    </fill>
    <fill>
      <patternFill patternType="solid">
        <fgColor rgb="FFF2F2F2"/>
        <bgColor rgb="FFF2F2F2"/>
      </patternFill>
    </fill>
  </fills>
  <borders count="5">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Font="1"/>
    <xf borderId="0" fillId="0" fontId="5" numFmtId="0" xfId="0" applyAlignment="1" applyFont="1">
      <alignment shrinkToFit="0" vertical="bottom" wrapText="0"/>
    </xf>
    <xf borderId="1" fillId="2" fontId="6" numFmtId="0" xfId="0" applyAlignment="1" applyBorder="1" applyFill="1" applyFont="1">
      <alignment shrinkToFit="0" vertical="bottom" wrapText="0"/>
    </xf>
    <xf borderId="0" fillId="0" fontId="7" numFmtId="0" xfId="0" applyAlignment="1" applyFont="1">
      <alignment shrinkToFit="0" vertical="bottom" wrapText="0"/>
    </xf>
    <xf borderId="1" fillId="2" fontId="8" numFmtId="0" xfId="0" applyAlignment="1" applyBorder="1" applyFill="1" applyFont="1">
      <alignment shrinkToFit="0" vertical="bottom" wrapText="0"/>
    </xf>
    <xf borderId="2" fillId="3" fontId="9" numFmtId="0" xfId="0" applyAlignment="1" applyBorder="1" applyFill="1" applyFont="1">
      <alignment horizontal="center" shrinkToFit="0" vertical="center" wrapText="1"/>
    </xf>
    <xf borderId="2" fillId="0" fontId="10" numFmtId="0" xfId="0" applyAlignment="1" applyBorder="1" applyFont="1">
      <alignment shrinkToFit="0" vertical="bottom" wrapText="0"/>
    </xf>
    <xf borderId="0" fillId="0" fontId="11" numFmtId="0" xfId="0" applyAlignment="1" applyFont="1">
      <alignment shrinkToFit="0" vertical="top" wrapText="1"/>
    </xf>
    <xf borderId="2" fillId="0" fontId="12" numFmtId="164" xfId="0" applyAlignment="1" applyBorder="1" applyFont="1" applyNumberFormat="1">
      <alignment shrinkToFit="0" vertical="bottom" wrapText="0"/>
    </xf>
    <xf borderId="0" fillId="0" fontId="10" numFmtId="0" xfId="0" applyAlignment="1" applyFont="1">
      <alignment shrinkToFit="0" vertical="top" wrapText="1"/>
    </xf>
    <xf borderId="2" fillId="0" fontId="12" numFmtId="165" xfId="0" applyAlignment="1" applyBorder="1" applyFont="1" applyNumberFormat="1">
      <alignment shrinkToFit="0" vertical="bottom" wrapText="0"/>
    </xf>
    <xf borderId="2" fillId="4" fontId="12" numFmtId="164" xfId="0" applyAlignment="1" applyBorder="1" applyFill="1" applyFont="1" applyNumberFormat="1">
      <alignment shrinkToFit="0" vertical="bottom" wrapText="0"/>
    </xf>
    <xf borderId="2" fillId="0" fontId="12" numFmtId="0" xfId="0" applyAlignment="1" applyBorder="1" applyFont="1">
      <alignment shrinkToFit="0" vertical="bottom" wrapText="0"/>
    </xf>
    <xf borderId="2" fillId="4" fontId="12" numFmtId="165" xfId="0" applyAlignment="1" applyBorder="1" applyFill="1" applyFont="1" applyNumberFormat="1">
      <alignment shrinkToFit="0" vertical="bottom" wrapText="0"/>
    </xf>
    <xf borderId="2" fillId="0" fontId="12" numFmtId="166" xfId="0" applyAlignment="1" applyBorder="1" applyFont="1" applyNumberFormat="1">
      <alignment shrinkToFit="0" vertical="bottom" wrapText="0"/>
    </xf>
    <xf borderId="2" fillId="4" fontId="12" numFmtId="167" xfId="0" applyAlignment="1" applyBorder="1" applyFill="1" applyFont="1" applyNumberFormat="1">
      <alignment shrinkToFit="0" vertical="bottom" wrapText="0"/>
    </xf>
    <xf borderId="2" fillId="4" fontId="12" numFmtId="166" xfId="0" applyAlignment="1" applyBorder="1" applyFill="1" applyFont="1" applyNumberFormat="1">
      <alignment shrinkToFit="0" vertical="bottom" wrapText="0"/>
    </xf>
    <xf borderId="2" fillId="0" fontId="12" numFmtId="168" xfId="0" applyAlignment="1" applyBorder="1" applyFont="1" applyNumberFormat="1">
      <alignment shrinkToFit="0" vertical="bottom" wrapText="0"/>
    </xf>
    <xf borderId="2" fillId="0" fontId="12" numFmtId="169" xfId="0" applyAlignment="1" applyBorder="1" applyFont="1" applyNumberFormat="1">
      <alignment shrinkToFit="0" vertical="bottom" wrapText="0"/>
    </xf>
    <xf borderId="2" fillId="0" fontId="12" numFmtId="10" xfId="0" applyAlignment="1" applyBorder="1" applyFont="1" applyNumberFormat="1">
      <alignment shrinkToFit="0" vertical="bottom" wrapText="0"/>
    </xf>
    <xf borderId="2" fillId="0" fontId="13" numFmtId="170" xfId="0" applyAlignment="1" applyBorder="1" applyFont="1" applyNumberFormat="1">
      <alignment shrinkToFit="0" vertical="bottom" wrapText="0"/>
    </xf>
    <xf borderId="2" fillId="0" fontId="13" numFmtId="165" xfId="0" applyAlignment="1" applyBorder="1" applyFont="1" applyNumberFormat="1">
      <alignment shrinkToFit="0" vertical="bottom" wrapText="0"/>
    </xf>
    <xf borderId="2" fillId="0" fontId="13" numFmtId="10" xfId="0" applyAlignment="1" applyBorder="1" applyFont="1" applyNumberFormat="1">
      <alignment shrinkToFit="0" vertical="bottom" wrapText="0"/>
    </xf>
    <xf borderId="0" fillId="0" fontId="6" numFmtId="0" xfId="0" applyAlignment="1" applyFont="1">
      <alignment shrinkToFit="0" vertical="bottom" wrapText="0"/>
    </xf>
    <xf borderId="2" fillId="4" fontId="12" numFmtId="167" xfId="0" applyAlignment="1" applyBorder="1" applyFill="1" applyFont="1" applyNumberFormat="1">
      <alignment horizontal="center" shrinkToFit="0" vertical="center" wrapText="1"/>
    </xf>
    <xf borderId="2" fillId="4" fontId="12" numFmtId="165" xfId="0" applyAlignment="1" applyBorder="1" applyFill="1" applyFont="1" applyNumberFormat="1">
      <alignment horizontal="right" shrinkToFit="0" vertical="bottom" wrapText="0"/>
    </xf>
    <xf borderId="1" fillId="2" fontId="6" numFmtId="0" xfId="0" applyAlignment="1" applyBorder="1" applyFill="1" applyFont="1">
      <alignment horizontal="center" shrinkToFit="0" vertical="center" wrapText="1"/>
    </xf>
    <xf borderId="2" fillId="0" fontId="10" numFmtId="170" xfId="0" applyAlignment="1" applyBorder="1" applyFont="1" applyNumberFormat="1">
      <alignment shrinkToFit="0" vertical="bottom" wrapText="0"/>
    </xf>
    <xf borderId="2" fillId="0" fontId="13" numFmtId="0" xfId="0" applyAlignment="1" applyBorder="1" applyFont="1">
      <alignment shrinkToFit="0" vertical="bottom" wrapText="0"/>
    </xf>
    <xf borderId="2" fillId="0" fontId="6" numFmtId="0" xfId="0" applyAlignment="1" applyBorder="1" applyFont="1">
      <alignment horizontal="center" shrinkToFit="0" vertical="center" wrapText="1"/>
    </xf>
    <xf borderId="2" fillId="0" fontId="10" numFmtId="165" xfId="0" applyAlignment="1" applyBorder="1" applyFont="1" applyNumberFormat="1">
      <alignment shrinkToFit="0" vertical="bottom" wrapText="0"/>
    </xf>
    <xf borderId="2" fillId="0" fontId="6" numFmtId="0" xfId="0" applyAlignment="1" applyBorder="1" applyFont="1">
      <alignment shrinkToFit="0" vertical="bottom" wrapText="0"/>
    </xf>
    <xf borderId="2" fillId="4" fontId="6" numFmtId="165" xfId="0" applyAlignment="1" applyBorder="1" applyFill="1" applyFont="1" applyNumberFormat="1">
      <alignment shrinkToFit="0" vertical="bottom" wrapText="0"/>
    </xf>
    <xf borderId="2" fillId="4" fontId="6" numFmtId="167" xfId="0" applyAlignment="1" applyBorder="1" applyFill="1" applyFont="1" applyNumberFormat="1">
      <alignment shrinkToFit="0" vertical="bottom" wrapText="0"/>
    </xf>
    <xf borderId="0" fillId="0" fontId="3" numFmtId="171" xfId="0" applyAlignment="1" applyFont="1" applyNumberFormat="1">
      <alignment shrinkToFit="0" vertical="bottom" wrapText="0"/>
    </xf>
    <xf borderId="2" fillId="0" fontId="13" numFmtId="172" xfId="0" applyAlignment="1" applyBorder="1" applyFont="1" applyNumberFormat="1">
      <alignment shrinkToFit="0" vertical="bottom" wrapText="0"/>
    </xf>
    <xf borderId="2" fillId="4" fontId="12" numFmtId="165" xfId="0" applyAlignment="1" applyBorder="1" applyFill="1" applyFont="1" applyNumberFormat="1">
      <alignment horizontal="center" shrinkToFit="0" vertical="center" wrapText="1"/>
    </xf>
    <xf borderId="2" fillId="0" fontId="6" numFmtId="0" xfId="0" applyAlignment="1" applyBorder="1" applyFont="1">
      <alignment horizontal="right" shrinkToFit="0" vertical="bottom" wrapText="0"/>
    </xf>
    <xf borderId="2" fillId="0" fontId="6" numFmtId="170" xfId="0" applyAlignment="1" applyBorder="1" applyFont="1" applyNumberFormat="1">
      <alignment horizontal="right" shrinkToFit="0" vertical="bottom" wrapText="0"/>
    </xf>
    <xf borderId="2" fillId="0" fontId="6" numFmtId="165" xfId="0" applyAlignment="1" applyBorder="1" applyFont="1" applyNumberFormat="1">
      <alignment horizontal="right" shrinkToFit="0" vertical="bottom" wrapText="0"/>
    </xf>
    <xf borderId="2" fillId="0" fontId="6" numFmtId="167" xfId="0" applyAlignment="1" applyBorder="1" applyFont="1" applyNumberFormat="1">
      <alignment horizontal="right" shrinkToFit="0" vertical="bottom" wrapText="0"/>
    </xf>
    <xf borderId="2" fillId="0" fontId="6" numFmtId="166" xfId="0" applyAlignment="1" applyBorder="1" applyFont="1" applyNumberFormat="1">
      <alignment horizontal="right" shrinkToFit="0" vertical="bottom" wrapText="0"/>
    </xf>
    <xf borderId="2" fillId="5" fontId="6" numFmtId="0" xfId="0" applyAlignment="1" applyBorder="1" applyFill="1" applyFont="1">
      <alignment shrinkToFit="0" vertical="bottom" wrapText="0"/>
    </xf>
    <xf borderId="2" fillId="5" fontId="6" numFmtId="170" xfId="0" applyAlignment="1" applyBorder="1" applyFill="1" applyFont="1" applyNumberFormat="1">
      <alignment shrinkToFit="0" vertical="bottom" wrapText="0"/>
    </xf>
    <xf borderId="2" fillId="4" fontId="12" numFmtId="0" xfId="0" applyAlignment="1" applyBorder="1" applyFill="1" applyFont="1">
      <alignment horizontal="center" shrinkToFit="0" vertical="center" wrapText="1"/>
    </xf>
    <xf borderId="0" fillId="0" fontId="13" numFmtId="170" xfId="0" applyAlignment="1" applyFont="1" applyNumberFormat="1">
      <alignment shrinkToFit="0" vertical="bottom" wrapText="0"/>
    </xf>
    <xf borderId="2" fillId="5" fontId="6" numFmtId="0" xfId="0" applyAlignment="1" applyBorder="1" applyFill="1" applyFont="1">
      <alignment horizontal="center" shrinkToFit="0" vertical="center" wrapText="1"/>
    </xf>
    <xf borderId="0" fillId="0" fontId="10" numFmtId="0" xfId="0" applyAlignment="1" applyFont="1">
      <alignment shrinkToFit="0" vertical="bottom" wrapText="0"/>
    </xf>
    <xf borderId="0" fillId="0" fontId="13" numFmtId="0" xfId="0" applyAlignment="1" applyFont="1">
      <alignment horizontal="center" shrinkToFit="0" vertical="center" wrapText="1"/>
    </xf>
    <xf borderId="2" fillId="0" fontId="6" numFmtId="0" xfId="0" applyAlignment="1" applyBorder="1" applyFont="1">
      <alignment shrinkToFit="0" vertical="top" wrapText="1"/>
    </xf>
    <xf borderId="3" fillId="0" fontId="10" numFmtId="0" xfId="0" applyAlignment="1" applyBorder="1" applyFont="1">
      <alignment shrinkToFit="0" vertical="top" wrapText="1"/>
    </xf>
    <xf borderId="4" fillId="0" fontId="14" numFmtId="0" xfId="0" applyBorder="1" applyFont="1"/>
    <xf borderId="0" fillId="0" fontId="10" numFmtId="0" xfId="0" applyAlignment="1" applyFont="1">
      <alignment horizontal="center" shrinkToFit="0" vertical="center" wrapText="1"/>
    </xf>
    <xf borderId="0" fillId="0" fontId="13" numFmtId="165" xfId="0" applyAlignment="1" applyFont="1" applyNumberFormat="1">
      <alignment shrinkToFit="0" vertical="bottom" wrapText="0"/>
    </xf>
    <xf borderId="0" fillId="0" fontId="13" numFmtId="167" xfId="0" applyAlignment="1" applyFont="1" applyNumberFormat="1">
      <alignment shrinkToFit="0" vertical="bottom" wrapText="0"/>
    </xf>
    <xf borderId="0" fillId="0" fontId="13" numFmtId="164" xfId="0" applyAlignment="1" applyFont="1" applyNumberFormat="1">
      <alignment shrinkToFit="0" vertical="bottom" wrapText="0"/>
    </xf>
    <xf borderId="2" fillId="0" fontId="10" numFmtId="0" xfId="0" applyAlignment="1" applyBorder="1" applyFont="1">
      <alignment shrinkToFit="0" vertical="top" wrapText="1"/>
    </xf>
    <xf borderId="0" fillId="0" fontId="13" numFmtId="166" xfId="0" applyAlignment="1" applyFont="1" applyNumberFormat="1">
      <alignment shrinkToFit="0" vertical="bottom" wrapText="0"/>
    </xf>
    <xf borderId="0" fillId="0" fontId="13" numFmtId="168" xfId="0" applyAlignment="1" applyFont="1" applyNumberFormat="1">
      <alignment shrinkToFit="0" vertical="bottom" wrapText="0"/>
    </xf>
    <xf borderId="0" fillId="0" fontId="13" numFmtId="169" xfId="0" applyAlignment="1" applyFont="1" applyNumberFormat="1">
      <alignment shrinkToFit="0" vertical="bottom" wrapText="0"/>
    </xf>
    <xf borderId="0" fillId="0" fontId="13" numFmtId="10" xfId="0" applyAlignment="1" applyFont="1" applyNumberFormat="1">
      <alignment shrinkToFit="0" vertical="bottom" wrapText="0"/>
    </xf>
    <xf borderId="0" fillId="0" fontId="10" numFmtId="170" xfId="0" applyAlignment="1" applyFont="1" applyNumberFormat="1">
      <alignment shrinkToFit="0" vertical="bottom" wrapText="0"/>
    </xf>
    <xf borderId="0" fillId="0" fontId="10" numFmtId="165" xfId="0" applyAlignment="1" applyFont="1" applyNumberFormat="1">
      <alignment shrinkToFit="0" vertical="bottom" wrapText="0"/>
    </xf>
    <xf borderId="1" fillId="2" fontId="3" numFmtId="0" xfId="0" applyAlignment="1" applyBorder="1" applyFill="1" applyFont="1">
      <alignment shrinkToFit="0" vertical="bottom" wrapText="0"/>
    </xf>
    <xf borderId="0" fillId="0" fontId="10" numFmtId="166" xfId="0" applyAlignment="1" applyFont="1" applyNumberFormat="1">
      <alignment shrinkToFit="0" vertical="bottom" wrapText="0"/>
    </xf>
    <xf borderId="1" fillId="5" fontId="6" numFmtId="0" xfId="0" applyAlignment="1" applyBorder="1" applyFill="1" applyFont="1">
      <alignment shrinkToFit="0" vertical="bottom" wrapText="0"/>
    </xf>
    <xf borderId="1" fillId="5" fontId="3" numFmtId="0" xfId="0" applyAlignment="1" applyBorder="1" applyFill="1" applyFont="1">
      <alignment shrinkToFit="0" vertical="bottom" wrapText="0"/>
    </xf>
    <xf borderId="1" fillId="5" fontId="6" numFmtId="170" xfId="0" applyAlignment="1" applyBorder="1" applyFill="1" applyFont="1" applyNumberFormat="1">
      <alignment shrinkToFit="0" vertical="bottom" wrapText="0"/>
    </xf>
    <xf borderId="0" fillId="0" fontId="10" numFmtId="173" xfId="0" applyAlignment="1" applyFont="1" applyNumberFormat="1">
      <alignment shrinkToFit="0" vertical="bottom" wrapText="0"/>
    </xf>
  </cellXfs>
  <cellStyles count="1">
    <cellStyle xfId="0" name="Normal" builtinId="0"/>
  </cellStyles>
  <dxfs count="2">
    <dxf>
      <font/>
      <fill>
        <patternFill patternType="solid">
          <fgColor rgb="FFC6EFCE"/>
          <bgColor rgb="FFC6EFCE"/>
        </patternFill>
      </fill>
      <border/>
    </dxf>
    <dxf>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India local vs China imported: landed-cost gap (%)  [+ = India costlier]</a:t>
            </a:r>
          </a:p>
        </c:rich>
      </c:tx>
      <c:overlay val="0"/>
    </c:title>
    <c:plotArea>
      <c:layout/>
      <c:barChart>
        <c:barDir val="bar"/>
        <c:varyColors val="0"/>
        <c:ser>
          <c:idx val="0"/>
          <c:order val="0"/>
          <c:tx>
            <c:v>India vs China (%)</c:v>
          </c:tx>
          <c:spPr>
            <a:solidFill>
              <a:srgbClr val="4F81BD"/>
            </a:solidFill>
            <a:ln cmpd="sng">
              <a:noFill/>
            </a:ln>
          </c:spPr>
          <c:invertIfNegative val="0"/>
          <c:cat>
            <c:strRef>
              <c:f>Summary!$A$6:$A$16</c:f>
            </c:strRef>
          </c:cat>
          <c:val>
            <c:numRef>
              <c:f>Summary!$F$6:$F$16</c:f>
              <c:numCache/>
            </c:numRef>
          </c:val>
        </c:ser>
        <c:axId val="1033653081"/>
        <c:axId val="78957931"/>
      </c:barChart>
      <c:catAx>
        <c:axId val="103365308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78957931"/>
      </c:catAx>
      <c:valAx>
        <c:axId val="7895793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33653081"/>
        <c:crosses val="max"/>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Base-case cost stack (USD/unit)</a:t>
            </a:r>
          </a:p>
        </c:rich>
      </c:tx>
      <c:overlay val="0"/>
    </c:title>
    <c:plotArea>
      <c:layout/>
      <c:barChart>
        <c:barDir val="col"/>
        <c:grouping val="stacked"/>
        <c:ser>
          <c:idx val="0"/>
          <c:order val="0"/>
          <c:tx>
            <c:v>Net material</c:v>
          </c:tx>
          <c:spPr>
            <a:solidFill>
              <a:srgbClr val="416A9C"/>
            </a:solidFill>
            <a:ln cmpd="sng">
              <a:noFill/>
            </a:ln>
          </c:spPr>
          <c:invertIfNegative val="0"/>
          <c:cat>
            <c:strRef>
              <c:f>Summary!$B$29:$D$29</c:f>
            </c:strRef>
          </c:cat>
          <c:val>
            <c:numRef>
              <c:f>Summary!$B$30:$D$30</c:f>
              <c:numCache/>
            </c:numRef>
          </c:val>
        </c:ser>
        <c:ser>
          <c:idx val="1"/>
          <c:order val="1"/>
          <c:tx>
            <c:v>Machining</c:v>
          </c:tx>
          <c:spPr>
            <a:solidFill>
              <a:srgbClr val="9F423F"/>
            </a:solidFill>
            <a:ln cmpd="sng">
              <a:noFill/>
            </a:ln>
          </c:spPr>
          <c:invertIfNegative val="0"/>
          <c:cat>
            <c:strRef>
              <c:f>Summary!$B$29:$D$29</c:f>
            </c:strRef>
          </c:cat>
          <c:val>
            <c:numRef>
              <c:f>Summary!$B$31:$D$31</c:f>
              <c:numCache/>
            </c:numRef>
          </c:val>
        </c:ser>
        <c:ser>
          <c:idx val="2"/>
          <c:order val="2"/>
          <c:tx>
            <c:v>Direct labour</c:v>
          </c:tx>
          <c:spPr>
            <a:solidFill>
              <a:srgbClr val="809B49"/>
            </a:solidFill>
            <a:ln cmpd="sng">
              <a:noFill/>
            </a:ln>
          </c:spPr>
          <c:invertIfNegative val="0"/>
          <c:cat>
            <c:strRef>
              <c:f>Summary!$B$29:$D$29</c:f>
            </c:strRef>
          </c:cat>
          <c:val>
            <c:numRef>
              <c:f>Summary!$B$32:$D$32</c:f>
              <c:numCache/>
            </c:numRef>
          </c:val>
        </c:ser>
        <c:ser>
          <c:idx val="3"/>
          <c:order val="3"/>
          <c:tx>
            <c:v>Finishing</c:v>
          </c:tx>
          <c:spPr>
            <a:solidFill>
              <a:srgbClr val="6A5286"/>
            </a:solidFill>
            <a:ln cmpd="sng">
              <a:noFill/>
            </a:ln>
          </c:spPr>
          <c:invertIfNegative val="0"/>
          <c:cat>
            <c:strRef>
              <c:f>Summary!$B$29:$D$29</c:f>
            </c:strRef>
          </c:cat>
          <c:val>
            <c:numRef>
              <c:f>Summary!$B$33:$D$33</c:f>
              <c:numCache/>
            </c:numRef>
          </c:val>
        </c:ser>
        <c:ser>
          <c:idx val="4"/>
          <c:order val="4"/>
          <c:tx>
            <c:v>Yield loss</c:v>
          </c:tx>
          <c:spPr>
            <a:solidFill>
              <a:srgbClr val="3E8EA4"/>
            </a:solidFill>
            <a:ln cmpd="sng">
              <a:noFill/>
            </a:ln>
          </c:spPr>
          <c:invertIfNegative val="0"/>
          <c:cat>
            <c:strRef>
              <c:f>Summary!$B$29:$D$29</c:f>
            </c:strRef>
          </c:cat>
          <c:val>
            <c:numRef>
              <c:f>Summary!$B$34:$D$34</c:f>
              <c:numCache/>
            </c:numRef>
          </c:val>
        </c:ser>
        <c:ser>
          <c:idx val="5"/>
          <c:order val="5"/>
          <c:tx>
            <c:v>Fixed cost (tooling + overhead)</c:v>
          </c:tx>
          <c:spPr>
            <a:solidFill>
              <a:srgbClr val="CC7C3A"/>
            </a:solidFill>
            <a:ln cmpd="sng">
              <a:noFill/>
            </a:ln>
          </c:spPr>
          <c:invertIfNegative val="0"/>
          <c:cat>
            <c:strRef>
              <c:f>Summary!$B$29:$D$29</c:f>
            </c:strRef>
          </c:cat>
          <c:val>
            <c:numRef>
              <c:f>Summary!$B$35:$D$35</c:f>
              <c:numCache/>
            </c:numRef>
          </c:val>
        </c:ser>
        <c:ser>
          <c:idx val="6"/>
          <c:order val="6"/>
          <c:tx>
            <c:v>Supplier margin</c:v>
          </c:tx>
          <c:spPr>
            <a:solidFill>
              <a:srgbClr val="4F81BD"/>
            </a:solidFill>
            <a:ln cmpd="sng">
              <a:noFill/>
            </a:ln>
          </c:spPr>
          <c:invertIfNegative val="0"/>
          <c:cat>
            <c:strRef>
              <c:f>Summary!$B$29:$D$29</c:f>
            </c:strRef>
          </c:cat>
          <c:val>
            <c:numRef>
              <c:f>Summary!$B$36:$D$36</c:f>
              <c:numCache/>
            </c:numRef>
          </c:val>
        </c:ser>
        <c:ser>
          <c:idx val="7"/>
          <c:order val="7"/>
          <c:tx>
            <c:v>ECMS incentive to buyer</c:v>
          </c:tx>
          <c:spPr>
            <a:solidFill>
              <a:srgbClr val="C0504D"/>
            </a:solidFill>
            <a:ln cmpd="sng">
              <a:noFill/>
            </a:ln>
          </c:spPr>
          <c:invertIfNegative val="0"/>
          <c:cat>
            <c:strRef>
              <c:f>Summary!$B$29:$D$29</c:f>
            </c:strRef>
          </c:cat>
          <c:val>
            <c:numRef>
              <c:f>Summary!$B$37:$D$37</c:f>
              <c:numCache/>
            </c:numRef>
          </c:val>
        </c:ser>
        <c:ser>
          <c:idx val="8"/>
          <c:order val="8"/>
          <c:tx>
            <c:v>International freight</c:v>
          </c:tx>
          <c:spPr>
            <a:solidFill>
              <a:srgbClr val="9BBB59"/>
            </a:solidFill>
            <a:ln cmpd="sng">
              <a:noFill/>
            </a:ln>
          </c:spPr>
          <c:invertIfNegative val="0"/>
          <c:cat>
            <c:strRef>
              <c:f>Summary!$B$29:$D$29</c:f>
            </c:strRef>
          </c:cat>
          <c:val>
            <c:numRef>
              <c:f>Summary!$B$38:$D$38</c:f>
              <c:numCache/>
            </c:numRef>
          </c:val>
        </c:ser>
        <c:ser>
          <c:idx val="9"/>
          <c:order val="9"/>
          <c:tx>
            <c:v>Cargo insurance</c:v>
          </c:tx>
          <c:spPr>
            <a:solidFill>
              <a:srgbClr val="8064A2"/>
            </a:solidFill>
            <a:ln cmpd="sng">
              <a:noFill/>
            </a:ln>
          </c:spPr>
          <c:invertIfNegative val="0"/>
          <c:cat>
            <c:strRef>
              <c:f>Summary!$B$29:$D$29</c:f>
            </c:strRef>
          </c:cat>
          <c:val>
            <c:numRef>
              <c:f>Summary!$B$39:$D$39</c:f>
              <c:numCache/>
            </c:numRef>
          </c:val>
        </c:ser>
        <c:ser>
          <c:idx val="10"/>
          <c:order val="10"/>
          <c:tx>
            <c:v>Import duties (BCD + SWS + other)</c:v>
          </c:tx>
          <c:spPr>
            <a:solidFill>
              <a:srgbClr val="4BACC6"/>
            </a:solidFill>
            <a:ln cmpd="sng">
              <a:noFill/>
            </a:ln>
          </c:spPr>
          <c:invertIfNegative val="0"/>
          <c:cat>
            <c:strRef>
              <c:f>Summary!$B$29:$D$29</c:f>
            </c:strRef>
          </c:cat>
          <c:val>
            <c:numRef>
              <c:f>Summary!$B$40:$D$40</c:f>
              <c:numCache/>
            </c:numRef>
          </c:val>
        </c:ser>
        <c:ser>
          <c:idx val="11"/>
          <c:order val="11"/>
          <c:tx>
            <c:v>Clearance and haulage</c:v>
          </c:tx>
          <c:spPr>
            <a:solidFill>
              <a:srgbClr val="F79646"/>
            </a:solidFill>
            <a:ln cmpd="sng">
              <a:noFill/>
            </a:ln>
          </c:spPr>
          <c:invertIfNegative val="0"/>
          <c:cat>
            <c:strRef>
              <c:f>Summary!$B$29:$D$29</c:f>
            </c:strRef>
          </c:cat>
          <c:val>
            <c:numRef>
              <c:f>Summary!$B$41:$D$41</c:f>
              <c:numCache/>
            </c:numRef>
          </c:val>
        </c:ser>
        <c:ser>
          <c:idx val="12"/>
          <c:order val="12"/>
          <c:tx>
            <c:v>Pipeline carrying cost</c:v>
          </c:tx>
          <c:spPr>
            <a:solidFill>
              <a:srgbClr val="AABAD7"/>
            </a:solidFill>
            <a:ln cmpd="sng">
              <a:noFill/>
            </a:ln>
          </c:spPr>
          <c:invertIfNegative val="0"/>
          <c:cat>
            <c:strRef>
              <c:f>Summary!$B$29:$D$29</c:f>
            </c:strRef>
          </c:cat>
          <c:val>
            <c:numRef>
              <c:f>Summary!$B$42:$D$42</c:f>
              <c:numCache/>
            </c:numRef>
          </c:val>
        </c:ser>
        <c:overlap val="100"/>
        <c:axId val="1739169294"/>
        <c:axId val="1733687431"/>
      </c:barChart>
      <c:catAx>
        <c:axId val="17391692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733687431"/>
      </c:catAx>
      <c:valAx>
        <c:axId val="17336874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739169294"/>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152400</xdr:rowOff>
    </xdr:from>
    <xdr:ext cx="8210550" cy="45243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28</xdr:row>
      <xdr:rowOff>152400</xdr:rowOff>
    </xdr:from>
    <xdr:ext cx="7553325" cy="45434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30.0"/>
    <col customWidth="1" min="3" max="3" width="110.0"/>
    <col customWidth="1" min="4"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5" t="s">
        <v>3</v>
      </c>
      <c r="C2" s="1"/>
      <c r="D2" s="1"/>
      <c r="E2" s="1"/>
      <c r="F2" s="1"/>
      <c r="G2" s="1"/>
      <c r="H2" s="1"/>
      <c r="I2" s="1"/>
      <c r="J2" s="1"/>
      <c r="K2" s="1"/>
      <c r="L2" s="1"/>
      <c r="M2" s="1"/>
      <c r="N2" s="1"/>
      <c r="O2" s="1"/>
      <c r="P2" s="1"/>
      <c r="Q2" s="1"/>
      <c r="R2" s="1"/>
      <c r="S2" s="1"/>
      <c r="T2" s="1"/>
      <c r="U2" s="1"/>
      <c r="V2" s="1"/>
      <c r="W2" s="1"/>
      <c r="X2" s="1"/>
      <c r="Y2" s="1"/>
      <c r="Z2" s="1"/>
    </row>
    <row r="3">
      <c r="A3" s="1"/>
      <c r="B3" s="7" t="s">
        <v>5</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ht="61.5" customHeight="1">
      <c r="A5" s="1"/>
      <c r="B5" s="11" t="s">
        <v>12</v>
      </c>
      <c r="C5" s="13" t="s">
        <v>14</v>
      </c>
      <c r="D5" s="1"/>
      <c r="E5" s="1"/>
      <c r="F5" s="1"/>
      <c r="G5" s="1"/>
      <c r="H5" s="1"/>
      <c r="I5" s="1"/>
      <c r="J5" s="1"/>
      <c r="K5" s="1"/>
      <c r="L5" s="1"/>
      <c r="M5" s="1"/>
      <c r="N5" s="1"/>
      <c r="O5" s="1"/>
      <c r="P5" s="1"/>
      <c r="Q5" s="1"/>
      <c r="R5" s="1"/>
      <c r="S5" s="1"/>
      <c r="T5" s="1"/>
      <c r="U5" s="1"/>
      <c r="V5" s="1"/>
      <c r="W5" s="1"/>
      <c r="X5" s="1"/>
      <c r="Y5" s="1"/>
      <c r="Z5" s="1"/>
    </row>
    <row r="6" ht="45.75" customHeight="1">
      <c r="A6" s="1"/>
      <c r="B6" s="11" t="s">
        <v>26</v>
      </c>
      <c r="C6" s="13" t="s">
        <v>28</v>
      </c>
      <c r="D6" s="1"/>
      <c r="E6" s="1"/>
      <c r="F6" s="1"/>
      <c r="G6" s="1"/>
      <c r="H6" s="1"/>
      <c r="I6" s="1"/>
      <c r="J6" s="1"/>
      <c r="K6" s="1"/>
      <c r="L6" s="1"/>
      <c r="M6" s="1"/>
      <c r="N6" s="1"/>
      <c r="O6" s="1"/>
      <c r="P6" s="1"/>
      <c r="Q6" s="1"/>
      <c r="R6" s="1"/>
      <c r="S6" s="1"/>
      <c r="T6" s="1"/>
      <c r="U6" s="1"/>
      <c r="V6" s="1"/>
      <c r="W6" s="1"/>
      <c r="X6" s="1"/>
      <c r="Y6" s="1"/>
      <c r="Z6" s="1"/>
    </row>
    <row r="7" ht="61.5" customHeight="1">
      <c r="A7" s="1"/>
      <c r="B7" s="11" t="s">
        <v>32</v>
      </c>
      <c r="C7" s="13" t="s">
        <v>34</v>
      </c>
      <c r="D7" s="1"/>
      <c r="E7" s="1"/>
      <c r="F7" s="1"/>
      <c r="G7" s="1"/>
      <c r="H7" s="1"/>
      <c r="I7" s="1"/>
      <c r="J7" s="1"/>
      <c r="K7" s="1"/>
      <c r="L7" s="1"/>
      <c r="M7" s="1"/>
      <c r="N7" s="1"/>
      <c r="O7" s="1"/>
      <c r="P7" s="1"/>
      <c r="Q7" s="1"/>
      <c r="R7" s="1"/>
      <c r="S7" s="1"/>
      <c r="T7" s="1"/>
      <c r="U7" s="1"/>
      <c r="V7" s="1"/>
      <c r="W7" s="1"/>
      <c r="X7" s="1"/>
      <c r="Y7" s="1"/>
      <c r="Z7" s="1"/>
    </row>
    <row r="8" ht="61.5" customHeight="1">
      <c r="A8" s="1"/>
      <c r="B8" s="11" t="s">
        <v>41</v>
      </c>
      <c r="C8" s="13" t="s">
        <v>42</v>
      </c>
      <c r="D8" s="1"/>
      <c r="E8" s="1"/>
      <c r="F8" s="1"/>
      <c r="G8" s="1"/>
      <c r="H8" s="1"/>
      <c r="I8" s="1"/>
      <c r="J8" s="1"/>
      <c r="K8" s="1"/>
      <c r="L8" s="1"/>
      <c r="M8" s="1"/>
      <c r="N8" s="1"/>
      <c r="O8" s="1"/>
      <c r="P8" s="1"/>
      <c r="Q8" s="1"/>
      <c r="R8" s="1"/>
      <c r="S8" s="1"/>
      <c r="T8" s="1"/>
      <c r="U8" s="1"/>
      <c r="V8" s="1"/>
      <c r="W8" s="1"/>
      <c r="X8" s="1"/>
      <c r="Y8" s="1"/>
      <c r="Z8" s="1"/>
    </row>
    <row r="9" ht="45.75" customHeight="1">
      <c r="A9" s="1"/>
      <c r="B9" s="11" t="s">
        <v>48</v>
      </c>
      <c r="C9" s="13" t="s">
        <v>50</v>
      </c>
      <c r="D9" s="1"/>
      <c r="E9" s="1"/>
      <c r="F9" s="1"/>
      <c r="G9" s="1"/>
      <c r="H9" s="1"/>
      <c r="I9" s="1"/>
      <c r="J9" s="1"/>
      <c r="K9" s="1"/>
      <c r="L9" s="1"/>
      <c r="M9" s="1"/>
      <c r="N9" s="1"/>
      <c r="O9" s="1"/>
      <c r="P9" s="1"/>
      <c r="Q9" s="1"/>
      <c r="R9" s="1"/>
      <c r="S9" s="1"/>
      <c r="T9" s="1"/>
      <c r="U9" s="1"/>
      <c r="V9" s="1"/>
      <c r="W9" s="1"/>
      <c r="X9" s="1"/>
      <c r="Y9" s="1"/>
      <c r="Z9" s="1"/>
    </row>
    <row r="10" ht="45.75" customHeight="1">
      <c r="A10" s="1"/>
      <c r="B10" s="11" t="s">
        <v>56</v>
      </c>
      <c r="C10" s="13" t="s">
        <v>57</v>
      </c>
      <c r="D10" s="1"/>
      <c r="E10" s="1"/>
      <c r="F10" s="1"/>
      <c r="G10" s="1"/>
      <c r="H10" s="1"/>
      <c r="I10" s="1"/>
      <c r="J10" s="1"/>
      <c r="K10" s="1"/>
      <c r="L10" s="1"/>
      <c r="M10" s="1"/>
      <c r="N10" s="1"/>
      <c r="O10" s="1"/>
      <c r="P10" s="1"/>
      <c r="Q10" s="1"/>
      <c r="R10" s="1"/>
      <c r="S10" s="1"/>
      <c r="T10" s="1"/>
      <c r="U10" s="1"/>
      <c r="V10" s="1"/>
      <c r="W10" s="1"/>
      <c r="X10" s="1"/>
      <c r="Y10" s="1"/>
      <c r="Z10" s="1"/>
    </row>
    <row r="11" ht="61.5" customHeight="1">
      <c r="A11" s="1"/>
      <c r="B11" s="11" t="s">
        <v>63</v>
      </c>
      <c r="C11" s="13" t="s">
        <v>64</v>
      </c>
      <c r="D11" s="1"/>
      <c r="E11" s="1"/>
      <c r="F11" s="1"/>
      <c r="G11" s="1"/>
      <c r="H11" s="1"/>
      <c r="I11" s="1"/>
      <c r="J11" s="1"/>
      <c r="K11" s="1"/>
      <c r="L11" s="1"/>
      <c r="M11" s="1"/>
      <c r="N11" s="1"/>
      <c r="O11" s="1"/>
      <c r="P11" s="1"/>
      <c r="Q11" s="1"/>
      <c r="R11" s="1"/>
      <c r="S11" s="1"/>
      <c r="T11" s="1"/>
      <c r="U11" s="1"/>
      <c r="V11" s="1"/>
      <c r="W11" s="1"/>
      <c r="X11" s="1"/>
      <c r="Y11" s="1"/>
      <c r="Z11" s="1"/>
    </row>
    <row r="12" ht="61.5" customHeight="1">
      <c r="A12" s="1"/>
      <c r="B12" s="11" t="s">
        <v>71</v>
      </c>
      <c r="C12" s="13" t="s">
        <v>75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4.0"/>
    <col customWidth="1" min="2" max="4" width="14.0"/>
    <col customWidth="1" min="5" max="7" width="16.0"/>
    <col customWidth="1" min="8" max="26" width="8.71"/>
  </cols>
  <sheetData>
    <row r="1">
      <c r="A1" s="2" t="s">
        <v>153</v>
      </c>
      <c r="B1" s="4"/>
      <c r="C1" s="4"/>
      <c r="D1" s="4"/>
      <c r="E1" s="4"/>
      <c r="F1" s="4"/>
      <c r="G1" s="4"/>
      <c r="H1" s="4"/>
      <c r="I1" s="4"/>
      <c r="J1" s="4"/>
      <c r="K1" s="4"/>
      <c r="L1" s="4"/>
      <c r="M1" s="4"/>
      <c r="N1" s="4"/>
      <c r="O1" s="4"/>
      <c r="P1" s="4"/>
      <c r="Q1" s="4"/>
      <c r="R1" s="4"/>
      <c r="S1" s="4"/>
      <c r="T1" s="4"/>
      <c r="U1" s="4"/>
      <c r="V1" s="4"/>
      <c r="W1" s="4"/>
      <c r="X1" s="4"/>
      <c r="Y1" s="4"/>
      <c r="Z1" s="4"/>
    </row>
    <row r="2">
      <c r="A2" s="3" t="s">
        <v>155</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6" t="s">
        <v>157</v>
      </c>
      <c r="B4" s="30" t="s">
        <v>158</v>
      </c>
      <c r="C4" s="30" t="s">
        <v>159</v>
      </c>
      <c r="D4" s="30" t="s">
        <v>159</v>
      </c>
      <c r="E4" s="8"/>
      <c r="F4" s="8"/>
      <c r="G4" s="8"/>
      <c r="H4" s="4"/>
      <c r="I4" s="4"/>
      <c r="J4" s="4"/>
      <c r="K4" s="4"/>
      <c r="L4" s="4"/>
      <c r="M4" s="4"/>
      <c r="N4" s="4"/>
      <c r="O4" s="4"/>
      <c r="P4" s="4"/>
      <c r="Q4" s="4"/>
      <c r="R4" s="4"/>
      <c r="S4" s="4"/>
      <c r="T4" s="4"/>
      <c r="U4" s="4"/>
      <c r="V4" s="4"/>
      <c r="W4" s="4"/>
      <c r="X4" s="4"/>
      <c r="Y4" s="4"/>
      <c r="Z4" s="4"/>
    </row>
    <row r="5" ht="31.5" customHeight="1">
      <c r="A5" s="9" t="s">
        <v>16</v>
      </c>
      <c r="B5" s="9" t="str">
        <f>Inputs!$C$18</f>
        <v>India</v>
      </c>
      <c r="C5" s="9" t="str">
        <f>Inputs!$D$18</f>
        <v>China</v>
      </c>
      <c r="D5" s="9" t="str">
        <f>Inputs!$E$18</f>
        <v>Vietnam</v>
      </c>
      <c r="E5" s="9" t="s">
        <v>160</v>
      </c>
      <c r="F5" s="9" t="s">
        <v>161</v>
      </c>
      <c r="G5" s="9" t="s">
        <v>162</v>
      </c>
      <c r="H5" s="4"/>
      <c r="I5" s="4"/>
      <c r="J5" s="4"/>
      <c r="K5" s="4"/>
      <c r="L5" s="4"/>
      <c r="M5" s="4"/>
      <c r="N5" s="4"/>
      <c r="O5" s="4"/>
      <c r="P5" s="4"/>
      <c r="Q5" s="4"/>
      <c r="R5" s="4"/>
      <c r="S5" s="4"/>
      <c r="T5" s="4"/>
      <c r="U5" s="4"/>
      <c r="V5" s="4"/>
      <c r="W5" s="4"/>
      <c r="X5" s="4"/>
      <c r="Y5" s="4"/>
      <c r="Z5" s="4"/>
    </row>
    <row r="6">
      <c r="A6" s="32" t="str">
        <f>Scenarios!$A$5</f>
        <v>Base case</v>
      </c>
      <c r="B6" s="31">
        <f t="array" ref="B6">INDEX(Calc!$C$66:$AI$66,MATCH($A6&amp;"|"&amp;B$5,Calc!$C$6:$AI$6,0))</f>
        <v>4.030000623</v>
      </c>
      <c r="C6" s="31">
        <f t="array" ref="C6">INDEX(Calc!$C$66:$AI$66,MATCH($A6&amp;"|"&amp;C$5,Calc!$C$6:$AI$6,0))</f>
        <v>3.67721187</v>
      </c>
      <c r="D6" s="31">
        <f t="array" ref="D6">INDEX(Calc!$C$66:$AI$66,MATCH($A6&amp;"|"&amp;D$5,Calc!$C$6:$AI$6,0))</f>
        <v>3.969769218</v>
      </c>
      <c r="E6" s="33" t="str">
        <f t="shared" ref="E6:E16" si="1">INDEX($B$5:$D$5,MATCH(MIN(B6:D6),B6:D6,0))</f>
        <v>China</v>
      </c>
      <c r="F6" s="34">
        <f t="shared" ref="F6:F16" si="2">B6/C6-1</f>
        <v>0.09593919663</v>
      </c>
      <c r="G6" s="34">
        <f t="shared" ref="G6:G16" si="3">B6/D6-1</f>
        <v>0.01517252051</v>
      </c>
      <c r="H6" s="4"/>
      <c r="I6" s="4"/>
      <c r="J6" s="4"/>
      <c r="K6" s="4"/>
      <c r="L6" s="4"/>
      <c r="M6" s="4"/>
      <c r="N6" s="4"/>
      <c r="O6" s="4"/>
      <c r="P6" s="4"/>
      <c r="Q6" s="4"/>
      <c r="R6" s="4"/>
      <c r="S6" s="4"/>
      <c r="T6" s="4"/>
      <c r="U6" s="4"/>
      <c r="V6" s="4"/>
      <c r="W6" s="4"/>
      <c r="X6" s="4"/>
      <c r="Y6" s="4"/>
      <c r="Z6" s="4"/>
    </row>
    <row r="7">
      <c r="A7" s="32" t="str">
        <f>Scenarios!$A$6</f>
        <v>Import duty +10 pts</v>
      </c>
      <c r="B7" s="31">
        <f t="array" ref="B7">INDEX(Calc!$C$66:$AI$66,MATCH($A7&amp;"|"&amp;B$5,Calc!$C$6:$AI$6,0))</f>
        <v>4.030000623</v>
      </c>
      <c r="C7" s="31">
        <f t="array" ref="C7">INDEX(Calc!$C$66:$AI$66,MATCH($A7&amp;"|"&amp;C$5,Calc!$C$6:$AI$6,0))</f>
        <v>4.03855651</v>
      </c>
      <c r="D7" s="31">
        <f t="array" ref="D7">INDEX(Calc!$C$66:$AI$66,MATCH($A7&amp;"|"&amp;D$5,Calc!$C$6:$AI$6,0))</f>
        <v>4.38049361</v>
      </c>
      <c r="E7" s="33" t="str">
        <f t="shared" si="1"/>
        <v>India</v>
      </c>
      <c r="F7" s="34">
        <f t="shared" si="2"/>
        <v>-0.002118550783</v>
      </c>
      <c r="G7" s="34">
        <f t="shared" si="3"/>
        <v>-0.08001221288</v>
      </c>
      <c r="H7" s="4"/>
      <c r="I7" s="4"/>
      <c r="J7" s="4"/>
      <c r="K7" s="4"/>
      <c r="L7" s="4"/>
      <c r="M7" s="4"/>
      <c r="N7" s="4"/>
      <c r="O7" s="4"/>
      <c r="P7" s="4"/>
      <c r="Q7" s="4"/>
      <c r="R7" s="4"/>
      <c r="S7" s="4"/>
      <c r="T7" s="4"/>
      <c r="U7" s="4"/>
      <c r="V7" s="4"/>
      <c r="W7" s="4"/>
      <c r="X7" s="4"/>
      <c r="Y7" s="4"/>
      <c r="Z7" s="4"/>
    </row>
    <row r="8">
      <c r="A8" s="32" t="str">
        <f>Scenarios!$A$7</f>
        <v>Import duty exempt (BCD to 0)</v>
      </c>
      <c r="B8" s="31">
        <f t="array" ref="B8">INDEX(Calc!$C$66:$AI$66,MATCH($A8&amp;"|"&amp;B$5,Calc!$C$6:$AI$6,0))</f>
        <v>4.030000623</v>
      </c>
      <c r="C8" s="31">
        <f t="array" ref="C8">INDEX(Calc!$C$66:$AI$66,MATCH($A8&amp;"|"&amp;C$5,Calc!$C$6:$AI$6,0))</f>
        <v>3.315867231</v>
      </c>
      <c r="D8" s="31">
        <f t="array" ref="D8">INDEX(Calc!$C$66:$AI$66,MATCH($A8&amp;"|"&amp;D$5,Calc!$C$6:$AI$6,0))</f>
        <v>3.764407022</v>
      </c>
      <c r="E8" s="33" t="str">
        <f t="shared" si="1"/>
        <v>China</v>
      </c>
      <c r="F8" s="34">
        <f t="shared" si="2"/>
        <v>0.2153685123</v>
      </c>
      <c r="G8" s="34">
        <f t="shared" si="3"/>
        <v>0.07055390117</v>
      </c>
      <c r="H8" s="4"/>
      <c r="I8" s="4"/>
      <c r="J8" s="4"/>
      <c r="K8" s="4"/>
      <c r="L8" s="4"/>
      <c r="M8" s="4"/>
      <c r="N8" s="4"/>
      <c r="O8" s="4"/>
      <c r="P8" s="4"/>
      <c r="Q8" s="4"/>
      <c r="R8" s="4"/>
      <c r="S8" s="4"/>
      <c r="T8" s="4"/>
      <c r="U8" s="4"/>
      <c r="V8" s="4"/>
      <c r="W8" s="4"/>
      <c r="X8" s="4"/>
      <c r="Y8" s="4"/>
      <c r="Z8" s="4"/>
    </row>
    <row r="9">
      <c r="A9" s="32" t="str">
        <f>Scenarios!$A$8</f>
        <v>Freight spike x2.5</v>
      </c>
      <c r="B9" s="31">
        <f t="array" ref="B9">INDEX(Calc!$C$66:$AI$66,MATCH($A9&amp;"|"&amp;B$5,Calc!$C$6:$AI$6,0))</f>
        <v>4.042600623</v>
      </c>
      <c r="C9" s="31">
        <f t="array" ref="C9">INDEX(Calc!$C$66:$AI$66,MATCH($A9&amp;"|"&amp;C$5,Calc!$C$6:$AI$6,0))</f>
        <v>3.90530337</v>
      </c>
      <c r="D9" s="31">
        <f t="array" ref="D9">INDEX(Calc!$C$66:$AI$66,MATCH($A9&amp;"|"&amp;D$5,Calc!$C$6:$AI$6,0))</f>
        <v>4.219957968</v>
      </c>
      <c r="E9" s="33" t="str">
        <f t="shared" si="1"/>
        <v>China</v>
      </c>
      <c r="F9" s="34">
        <f t="shared" si="2"/>
        <v>0.03515661644</v>
      </c>
      <c r="G9" s="34">
        <f t="shared" si="3"/>
        <v>-0.0420282255</v>
      </c>
      <c r="H9" s="4"/>
      <c r="I9" s="4"/>
      <c r="J9" s="4"/>
      <c r="K9" s="4"/>
      <c r="L9" s="4"/>
      <c r="M9" s="4"/>
      <c r="N9" s="4"/>
      <c r="O9" s="4"/>
      <c r="P9" s="4"/>
      <c r="Q9" s="4"/>
      <c r="R9" s="4"/>
      <c r="S9" s="4"/>
      <c r="T9" s="4"/>
      <c r="U9" s="4"/>
      <c r="V9" s="4"/>
      <c r="W9" s="4"/>
      <c r="X9" s="4"/>
      <c r="Y9" s="4"/>
      <c r="Z9" s="4"/>
    </row>
    <row r="10">
      <c r="A10" s="32" t="str">
        <f>Scenarios!$A$9</f>
        <v>Volume -10%</v>
      </c>
      <c r="B10" s="31">
        <f t="array" ref="B10">INDEX(Calc!$C$66:$AI$66,MATCH($A10&amp;"|"&amp;B$5,Calc!$C$6:$AI$6,0))</f>
        <v>4.072139751</v>
      </c>
      <c r="C10" s="31">
        <f t="array" ref="C10">INDEX(Calc!$C$66:$AI$66,MATCH($A10&amp;"|"&amp;C$5,Calc!$C$6:$AI$6,0))</f>
        <v>3.730165076</v>
      </c>
      <c r="D10" s="31">
        <f t="array" ref="D10">INDEX(Calc!$C$66:$AI$66,MATCH($A10&amp;"|"&amp;D$5,Calc!$C$6:$AI$6,0))</f>
        <v>4.011926493</v>
      </c>
      <c r="E10" s="33" t="str">
        <f t="shared" si="1"/>
        <v>China</v>
      </c>
      <c r="F10" s="34">
        <f t="shared" si="2"/>
        <v>0.0916781613</v>
      </c>
      <c r="G10" s="34">
        <f t="shared" si="3"/>
        <v>0.01500856465</v>
      </c>
      <c r="H10" s="4"/>
      <c r="I10" s="4"/>
      <c r="J10" s="4"/>
      <c r="K10" s="4"/>
      <c r="L10" s="4"/>
      <c r="M10" s="4"/>
      <c r="N10" s="4"/>
      <c r="O10" s="4"/>
      <c r="P10" s="4"/>
      <c r="Q10" s="4"/>
      <c r="R10" s="4"/>
      <c r="S10" s="4"/>
      <c r="T10" s="4"/>
      <c r="U10" s="4"/>
      <c r="V10" s="4"/>
      <c r="W10" s="4"/>
      <c r="X10" s="4"/>
      <c r="Y10" s="4"/>
      <c r="Z10" s="4"/>
    </row>
    <row r="11">
      <c r="A11" s="32" t="str">
        <f>Scenarios!$A$10</f>
        <v>Volume +10%</v>
      </c>
      <c r="B11" s="31">
        <f t="array" ref="B11">INDEX(Calc!$C$66:$AI$66,MATCH($A11&amp;"|"&amp;B$5,Calc!$C$6:$AI$6,0))</f>
        <v>3.995523155</v>
      </c>
      <c r="C11" s="31">
        <f t="array" ref="C11">INDEX(Calc!$C$66:$AI$66,MATCH($A11&amp;"|"&amp;C$5,Calc!$C$6:$AI$6,0))</f>
        <v>3.633886521</v>
      </c>
      <c r="D11" s="31">
        <f t="array" ref="D11">INDEX(Calc!$C$66:$AI$66,MATCH($A11&amp;"|"&amp;D$5,Calc!$C$6:$AI$6,0))</f>
        <v>3.935276902</v>
      </c>
      <c r="E11" s="33" t="str">
        <f t="shared" si="1"/>
        <v>China</v>
      </c>
      <c r="F11" s="34">
        <f t="shared" si="2"/>
        <v>0.0995178666</v>
      </c>
      <c r="G11" s="34">
        <f t="shared" si="3"/>
        <v>0.01530927905</v>
      </c>
      <c r="H11" s="4"/>
      <c r="I11" s="4"/>
      <c r="J11" s="4"/>
      <c r="K11" s="4"/>
      <c r="L11" s="4"/>
      <c r="M11" s="4"/>
      <c r="N11" s="4"/>
      <c r="O11" s="4"/>
      <c r="P11" s="4"/>
      <c r="Q11" s="4"/>
      <c r="R11" s="4"/>
      <c r="S11" s="4"/>
      <c r="T11" s="4"/>
      <c r="U11" s="4"/>
      <c r="V11" s="4"/>
      <c r="W11" s="4"/>
      <c r="X11" s="4"/>
      <c r="Y11" s="4"/>
      <c r="Z11" s="4"/>
    </row>
    <row r="12">
      <c r="A12" s="32" t="str">
        <f>Scenarios!$A$11</f>
        <v>Aluminium +15%</v>
      </c>
      <c r="B12" s="31">
        <f t="array" ref="B12">INDEX(Calc!$C$66:$AI$66,MATCH($A12&amp;"|"&amp;B$5,Calc!$C$6:$AI$6,0))</f>
        <v>4.059254341</v>
      </c>
      <c r="C12" s="31">
        <f t="array" ref="C12">INDEX(Calc!$C$66:$AI$66,MATCH($A12&amp;"|"&amp;C$5,Calc!$C$6:$AI$6,0))</f>
        <v>3.708325095</v>
      </c>
      <c r="D12" s="31">
        <f t="array" ref="D12">INDEX(Calc!$C$66:$AI$66,MATCH($A12&amp;"|"&amp;D$5,Calc!$C$6:$AI$6,0))</f>
        <v>4.00058844</v>
      </c>
      <c r="E12" s="33" t="str">
        <f t="shared" si="1"/>
        <v>China</v>
      </c>
      <c r="F12" s="34">
        <f t="shared" si="2"/>
        <v>0.09463281582</v>
      </c>
      <c r="G12" s="34">
        <f t="shared" si="3"/>
        <v>0.01466431787</v>
      </c>
      <c r="H12" s="4"/>
      <c r="I12" s="4"/>
      <c r="J12" s="4"/>
      <c r="K12" s="4"/>
      <c r="L12" s="4"/>
      <c r="M12" s="4"/>
      <c r="N12" s="4"/>
      <c r="O12" s="4"/>
      <c r="P12" s="4"/>
      <c r="Q12" s="4"/>
      <c r="R12" s="4"/>
      <c r="S12" s="4"/>
      <c r="T12" s="4"/>
      <c r="U12" s="4"/>
      <c r="V12" s="4"/>
      <c r="W12" s="4"/>
      <c r="X12" s="4"/>
      <c r="Y12" s="4"/>
      <c r="Z12" s="4"/>
    </row>
    <row r="13">
      <c r="A13" s="32" t="str">
        <f>Scenarios!$A$12</f>
        <v>ECMS delayed (0% pass-through)</v>
      </c>
      <c r="B13" s="31">
        <f t="array" ref="B13">INDEX(Calc!$C$66:$AI$66,MATCH($A13&amp;"|"&amp;B$5,Calc!$C$6:$AI$6,0))</f>
        <v>4.175861786</v>
      </c>
      <c r="C13" s="31">
        <f t="array" ref="C13">INDEX(Calc!$C$66:$AI$66,MATCH($A13&amp;"|"&amp;C$5,Calc!$C$6:$AI$6,0))</f>
        <v>3.67721187</v>
      </c>
      <c r="D13" s="31">
        <f t="array" ref="D13">INDEX(Calc!$C$66:$AI$66,MATCH($A13&amp;"|"&amp;D$5,Calc!$C$6:$AI$6,0))</f>
        <v>3.969769218</v>
      </c>
      <c r="E13" s="33" t="str">
        <f t="shared" si="1"/>
        <v>China</v>
      </c>
      <c r="F13" s="34">
        <f t="shared" si="2"/>
        <v>0.135605435</v>
      </c>
      <c r="G13" s="34">
        <f t="shared" si="3"/>
        <v>0.05191550341</v>
      </c>
      <c r="H13" s="4"/>
      <c r="I13" s="4"/>
      <c r="J13" s="4"/>
      <c r="K13" s="4"/>
      <c r="L13" s="4"/>
      <c r="M13" s="4"/>
      <c r="N13" s="4"/>
      <c r="O13" s="4"/>
      <c r="P13" s="4"/>
      <c r="Q13" s="4"/>
      <c r="R13" s="4"/>
      <c r="S13" s="4"/>
      <c r="T13" s="4"/>
      <c r="U13" s="4"/>
      <c r="V13" s="4"/>
      <c r="W13" s="4"/>
      <c r="X13" s="4"/>
      <c r="Y13" s="4"/>
      <c r="Z13" s="4"/>
    </row>
    <row r="14">
      <c r="A14" s="32" t="str">
        <f>Scenarios!$A$13</f>
        <v>India yield -4 pts</v>
      </c>
      <c r="B14" s="31">
        <f t="array" ref="B14">INDEX(Calc!$C$66:$AI$66,MATCH($A14&amp;"|"&amp;B$5,Calc!$C$6:$AI$6,0))</f>
        <v>4.207676158</v>
      </c>
      <c r="C14" s="31">
        <f t="array" ref="C14">INDEX(Calc!$C$66:$AI$66,MATCH($A14&amp;"|"&amp;C$5,Calc!$C$6:$AI$6,0))</f>
        <v>3.67721187</v>
      </c>
      <c r="D14" s="31">
        <f t="array" ref="D14">INDEX(Calc!$C$66:$AI$66,MATCH($A14&amp;"|"&amp;D$5,Calc!$C$6:$AI$6,0))</f>
        <v>3.969769218</v>
      </c>
      <c r="E14" s="33" t="str">
        <f t="shared" si="1"/>
        <v>China</v>
      </c>
      <c r="F14" s="34">
        <f t="shared" si="2"/>
        <v>0.1442571999</v>
      </c>
      <c r="G14" s="34">
        <f t="shared" si="3"/>
        <v>0.05992966515</v>
      </c>
      <c r="H14" s="4"/>
      <c r="I14" s="4"/>
      <c r="J14" s="4"/>
      <c r="K14" s="4"/>
      <c r="L14" s="4"/>
      <c r="M14" s="4"/>
      <c r="N14" s="4"/>
      <c r="O14" s="4"/>
      <c r="P14" s="4"/>
      <c r="Q14" s="4"/>
      <c r="R14" s="4"/>
      <c r="S14" s="4"/>
      <c r="T14" s="4"/>
      <c r="U14" s="4"/>
      <c r="V14" s="4"/>
      <c r="W14" s="4"/>
      <c r="X14" s="4"/>
      <c r="Y14" s="4"/>
      <c r="Z14" s="4"/>
    </row>
    <row r="15">
      <c r="A15" s="32" t="str">
        <f>Scenarios!$A$14</f>
        <v>Import-shock stack (duty +10, freight x2.5, Al +15%)</v>
      </c>
      <c r="B15" s="31">
        <f t="array" ref="B15">INDEX(Calc!$C$66:$AI$66,MATCH($A15&amp;"|"&amp;B$5,Calc!$C$6:$AI$6,0))</f>
        <v>4.071854341</v>
      </c>
      <c r="C15" s="31">
        <f t="array" ref="C15">INDEX(Calc!$C$66:$AI$66,MATCH($A15&amp;"|"&amp;C$5,Calc!$C$6:$AI$6,0))</f>
        <v>4.323343502</v>
      </c>
      <c r="D15" s="31">
        <f t="array" ref="D15">INDEX(Calc!$C$66:$AI$66,MATCH($A15&amp;"|"&amp;D$5,Calc!$C$6:$AI$6,0))</f>
        <v>4.690680118</v>
      </c>
      <c r="E15" s="33" t="str">
        <f t="shared" si="1"/>
        <v>India</v>
      </c>
      <c r="F15" s="34">
        <f t="shared" si="2"/>
        <v>-0.05817006238</v>
      </c>
      <c r="G15" s="34">
        <f t="shared" si="3"/>
        <v>-0.1319266633</v>
      </c>
      <c r="H15" s="4"/>
      <c r="I15" s="4"/>
      <c r="J15" s="4"/>
      <c r="K15" s="4"/>
      <c r="L15" s="4"/>
      <c r="M15" s="4"/>
      <c r="N15" s="4"/>
      <c r="O15" s="4"/>
      <c r="P15" s="4"/>
      <c r="Q15" s="4"/>
      <c r="R15" s="4"/>
      <c r="S15" s="4"/>
      <c r="T15" s="4"/>
      <c r="U15" s="4"/>
      <c r="V15" s="4"/>
      <c r="W15" s="4"/>
      <c r="X15" s="4"/>
      <c r="Y15" s="4"/>
      <c r="Z15" s="4"/>
    </row>
    <row r="16">
      <c r="A16" s="32" t="str">
        <f>Scenarios!$A$15</f>
        <v>India-risk stack (vol -10%, ECMS 0%, yield -4 pts)</v>
      </c>
      <c r="B16" s="31">
        <f t="array" ref="B16">INDEX(Calc!$C$66:$AI$66,MATCH($A16&amp;"|"&amp;B$5,Calc!$C$6:$AI$6,0))</f>
        <v>4.403649001</v>
      </c>
      <c r="C16" s="31">
        <f t="array" ref="C16">INDEX(Calc!$C$66:$AI$66,MATCH($A16&amp;"|"&amp;C$5,Calc!$C$6:$AI$6,0))</f>
        <v>3.730165076</v>
      </c>
      <c r="D16" s="31">
        <f t="array" ref="D16">INDEX(Calc!$C$66:$AI$66,MATCH($A16&amp;"|"&amp;D$5,Calc!$C$6:$AI$6,0))</f>
        <v>4.011926493</v>
      </c>
      <c r="E16" s="33" t="str">
        <f t="shared" si="1"/>
        <v>China</v>
      </c>
      <c r="F16" s="34">
        <f t="shared" si="2"/>
        <v>0.1805507027</v>
      </c>
      <c r="G16" s="34">
        <f t="shared" si="3"/>
        <v>0.09763950285</v>
      </c>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6" t="s">
        <v>175</v>
      </c>
      <c r="B18" s="8"/>
      <c r="C18" s="8"/>
      <c r="D18" s="8"/>
      <c r="E18" s="8"/>
      <c r="F18" s="8"/>
      <c r="G18" s="8"/>
      <c r="H18" s="4"/>
      <c r="I18" s="4"/>
      <c r="J18" s="4"/>
      <c r="K18" s="4"/>
      <c r="L18" s="4"/>
      <c r="M18" s="4"/>
      <c r="N18" s="4"/>
      <c r="O18" s="4"/>
      <c r="P18" s="4"/>
      <c r="Q18" s="4"/>
      <c r="R18" s="4"/>
      <c r="S18" s="4"/>
      <c r="T18" s="4"/>
      <c r="U18" s="4"/>
      <c r="V18" s="4"/>
      <c r="W18" s="4"/>
      <c r="X18" s="4"/>
      <c r="Y18" s="4"/>
      <c r="Z18" s="4"/>
    </row>
    <row r="19">
      <c r="A19" s="10" t="s">
        <v>176</v>
      </c>
      <c r="B19" s="41" t="str">
        <f>E6</f>
        <v>China</v>
      </c>
      <c r="C19" s="4"/>
      <c r="D19" s="4"/>
      <c r="E19" s="4"/>
      <c r="F19" s="4"/>
      <c r="G19" s="4"/>
      <c r="H19" s="4"/>
      <c r="I19" s="4"/>
      <c r="J19" s="4"/>
      <c r="K19" s="4"/>
      <c r="L19" s="4"/>
      <c r="M19" s="4"/>
      <c r="N19" s="4"/>
      <c r="O19" s="4"/>
      <c r="P19" s="4"/>
      <c r="Q19" s="4"/>
      <c r="R19" s="4"/>
      <c r="S19" s="4"/>
      <c r="T19" s="4"/>
      <c r="U19" s="4"/>
      <c r="V19" s="4"/>
      <c r="W19" s="4"/>
      <c r="X19" s="4"/>
      <c r="Y19" s="4"/>
      <c r="Z19" s="4"/>
    </row>
    <row r="20">
      <c r="A20" s="10" t="s">
        <v>177</v>
      </c>
      <c r="B20" s="42">
        <f>B6</f>
        <v>4.030000623</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10" t="s">
        <v>178</v>
      </c>
      <c r="B21" s="42">
        <f>C6</f>
        <v>3.67721187</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10" t="s">
        <v>179</v>
      </c>
      <c r="B22" s="43">
        <f>F6</f>
        <v>0.09593919663</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10" t="s">
        <v>180</v>
      </c>
      <c r="B23" s="43">
        <f>Sensitivity!B26</f>
        <v>0.1976322087</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10" t="s">
        <v>181</v>
      </c>
      <c r="B24" s="44">
        <f>Sensitivity!B27</f>
        <v>3.320047564</v>
      </c>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10" t="s">
        <v>182</v>
      </c>
      <c r="B25" s="45">
        <f>(B6-C6)*Inputs!$B$10/1000000</f>
        <v>1.763943763</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10" t="s">
        <v>184</v>
      </c>
      <c r="B26" s="43">
        <f>Sensitivity!B48</f>
        <v>0.9522306793</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6" t="s">
        <v>186</v>
      </c>
      <c r="B28" s="8"/>
      <c r="C28" s="8"/>
      <c r="D28" s="8"/>
      <c r="E28" s="8"/>
      <c r="F28" s="8"/>
      <c r="G28" s="8"/>
      <c r="H28" s="4"/>
      <c r="I28" s="4"/>
      <c r="J28" s="4"/>
      <c r="K28" s="4"/>
      <c r="L28" s="4"/>
      <c r="M28" s="4"/>
      <c r="N28" s="4"/>
      <c r="O28" s="4"/>
      <c r="P28" s="4"/>
      <c r="Q28" s="4"/>
      <c r="R28" s="4"/>
      <c r="S28" s="4"/>
      <c r="T28" s="4"/>
      <c r="U28" s="4"/>
      <c r="V28" s="4"/>
      <c r="W28" s="4"/>
      <c r="X28" s="4"/>
      <c r="Y28" s="4"/>
      <c r="Z28" s="4"/>
    </row>
    <row r="29" ht="15.75" customHeight="1">
      <c r="A29" s="9" t="s">
        <v>187</v>
      </c>
      <c r="B29" s="9" t="str">
        <f>Inputs!$C$18</f>
        <v>India</v>
      </c>
      <c r="C29" s="9" t="str">
        <f>Inputs!$D$18</f>
        <v>China</v>
      </c>
      <c r="D29" s="9" t="str">
        <f>Inputs!$E$18</f>
        <v>Vietnam</v>
      </c>
      <c r="E29" s="4"/>
      <c r="F29" s="4"/>
      <c r="G29" s="4"/>
      <c r="H29" s="4"/>
      <c r="I29" s="4"/>
      <c r="J29" s="4"/>
      <c r="K29" s="4"/>
      <c r="L29" s="4"/>
      <c r="M29" s="4"/>
      <c r="N29" s="4"/>
      <c r="O29" s="4"/>
      <c r="P29" s="4"/>
      <c r="Q29" s="4"/>
      <c r="R29" s="4"/>
      <c r="S29" s="4"/>
      <c r="T29" s="4"/>
      <c r="U29" s="4"/>
      <c r="V29" s="4"/>
      <c r="W29" s="4"/>
      <c r="X29" s="4"/>
      <c r="Y29" s="4"/>
      <c r="Z29" s="4"/>
    </row>
    <row r="30" ht="15.75" customHeight="1">
      <c r="A30" s="10" t="s">
        <v>189</v>
      </c>
      <c r="B30" s="31">
        <f t="array" ref="B30">INDEX(Calc!$C$41:$AI$41,MATCH(Summary!$A$6&amp;"|"&amp;B$29,Calc!$C$6:$AI$6,0))</f>
        <v>0.2034072</v>
      </c>
      <c r="C30" s="31">
        <f t="array" ref="C30">INDEX(Calc!$C$41:$AI$41,MATCH(Summary!$A$6&amp;"|"&amp;C$29,Calc!$C$6:$AI$6,0))</f>
        <v>0.1872572</v>
      </c>
      <c r="D30" s="31">
        <f t="array" ref="D30">INDEX(Calc!$C$41:$AI$41,MATCH(Summary!$A$6&amp;"|"&amp;D$29,Calc!$C$6:$AI$6,0))</f>
        <v>0.1974572</v>
      </c>
      <c r="E30" s="4"/>
      <c r="F30" s="4"/>
      <c r="G30" s="4"/>
      <c r="H30" s="4"/>
      <c r="I30" s="4"/>
      <c r="J30" s="4"/>
      <c r="K30" s="4"/>
      <c r="L30" s="4"/>
      <c r="M30" s="4"/>
      <c r="N30" s="4"/>
      <c r="O30" s="4"/>
      <c r="P30" s="4"/>
      <c r="Q30" s="4"/>
      <c r="R30" s="4"/>
      <c r="S30" s="4"/>
      <c r="T30" s="4"/>
      <c r="U30" s="4"/>
      <c r="V30" s="4"/>
      <c r="W30" s="4"/>
      <c r="X30" s="4"/>
      <c r="Y30" s="4"/>
      <c r="Z30" s="4"/>
    </row>
    <row r="31" ht="15.75" customHeight="1">
      <c r="A31" s="10" t="s">
        <v>190</v>
      </c>
      <c r="B31" s="31">
        <f t="array" ref="B31">INDEX(Calc!$C$42:$AI$42,MATCH(Summary!$A$6&amp;"|"&amp;B$29,Calc!$C$6:$AI$6,0))</f>
        <v>2.1</v>
      </c>
      <c r="C31" s="31">
        <f t="array" ref="C31">INDEX(Calc!$C$42:$AI$42,MATCH(Summary!$A$6&amp;"|"&amp;C$29,Calc!$C$6:$AI$6,0))</f>
        <v>1.533333333</v>
      </c>
      <c r="D31" s="31">
        <f t="array" ref="D31">INDEX(Calc!$C$42:$AI$42,MATCH(Summary!$A$6&amp;"|"&amp;D$29,Calc!$C$6:$AI$6,0))</f>
        <v>1.833333333</v>
      </c>
      <c r="E31" s="4"/>
      <c r="F31" s="4"/>
      <c r="G31" s="4"/>
      <c r="H31" s="4"/>
      <c r="I31" s="4"/>
      <c r="J31" s="4"/>
      <c r="K31" s="4"/>
      <c r="L31" s="4"/>
      <c r="M31" s="4"/>
      <c r="N31" s="4"/>
      <c r="O31" s="4"/>
      <c r="P31" s="4"/>
      <c r="Q31" s="4"/>
      <c r="R31" s="4"/>
      <c r="S31" s="4"/>
      <c r="T31" s="4"/>
      <c r="U31" s="4"/>
      <c r="V31" s="4"/>
      <c r="W31" s="4"/>
      <c r="X31" s="4"/>
      <c r="Y31" s="4"/>
      <c r="Z31" s="4"/>
    </row>
    <row r="32" ht="15.75" customHeight="1">
      <c r="A32" s="10" t="s">
        <v>191</v>
      </c>
      <c r="B32" s="31">
        <f t="array" ref="B32">INDEX(Calc!$C$43:$AI$43,MATCH(Summary!$A$6&amp;"|"&amp;B$29,Calc!$C$6:$AI$6,0))</f>
        <v>0.12</v>
      </c>
      <c r="C32" s="31">
        <f t="array" ref="C32">INDEX(Calc!$C$43:$AI$43,MATCH(Summary!$A$6&amp;"|"&amp;C$29,Calc!$C$6:$AI$6,0))</f>
        <v>0.2166666667</v>
      </c>
      <c r="D32" s="31">
        <f t="array" ref="D32">INDEX(Calc!$C$43:$AI$43,MATCH(Summary!$A$6&amp;"|"&amp;D$29,Calc!$C$6:$AI$6,0))</f>
        <v>0.1393333333</v>
      </c>
      <c r="E32" s="4"/>
      <c r="F32" s="4"/>
      <c r="G32" s="4"/>
      <c r="H32" s="4"/>
      <c r="I32" s="4"/>
      <c r="J32" s="4"/>
      <c r="K32" s="4"/>
      <c r="L32" s="4"/>
      <c r="M32" s="4"/>
      <c r="N32" s="4"/>
      <c r="O32" s="4"/>
      <c r="P32" s="4"/>
      <c r="Q32" s="4"/>
      <c r="R32" s="4"/>
      <c r="S32" s="4"/>
      <c r="T32" s="4"/>
      <c r="U32" s="4"/>
      <c r="V32" s="4"/>
      <c r="W32" s="4"/>
      <c r="X32" s="4"/>
      <c r="Y32" s="4"/>
      <c r="Z32" s="4"/>
    </row>
    <row r="33" ht="15.75" customHeight="1">
      <c r="A33" s="10" t="s">
        <v>192</v>
      </c>
      <c r="B33" s="31">
        <f t="array" ref="B33">INDEX(Calc!$C$44:$AI$44,MATCH(Summary!$A$6&amp;"|"&amp;B$29,Calc!$C$6:$AI$6,0))</f>
        <v>0.55</v>
      </c>
      <c r="C33" s="31">
        <f t="array" ref="C33">INDEX(Calc!$C$44:$AI$44,MATCH(Summary!$A$6&amp;"|"&amp;C$29,Calc!$C$6:$AI$6,0))</f>
        <v>0.4</v>
      </c>
      <c r="D33" s="31">
        <f t="array" ref="D33">INDEX(Calc!$C$44:$AI$44,MATCH(Summary!$A$6&amp;"|"&amp;D$29,Calc!$C$6:$AI$6,0))</f>
        <v>0.48</v>
      </c>
      <c r="E33" s="4"/>
      <c r="F33" s="4"/>
      <c r="G33" s="4"/>
      <c r="H33" s="4"/>
      <c r="I33" s="4"/>
      <c r="J33" s="4"/>
      <c r="K33" s="4"/>
      <c r="L33" s="4"/>
      <c r="M33" s="4"/>
      <c r="N33" s="4"/>
      <c r="O33" s="4"/>
      <c r="P33" s="4"/>
      <c r="Q33" s="4"/>
      <c r="R33" s="4"/>
      <c r="S33" s="4"/>
      <c r="T33" s="4"/>
      <c r="U33" s="4"/>
      <c r="V33" s="4"/>
      <c r="W33" s="4"/>
      <c r="X33" s="4"/>
      <c r="Y33" s="4"/>
      <c r="Z33" s="4"/>
    </row>
    <row r="34" ht="15.75" customHeight="1">
      <c r="A34" s="10" t="s">
        <v>193</v>
      </c>
      <c r="B34" s="31">
        <f t="array" ref="B34">INDEX(Calc!$C$47:$AI$47,MATCH(Summary!$A$6&amp;"|"&amp;B$29,Calc!$C$6:$AI$6,0))</f>
        <v>0.4840430326</v>
      </c>
      <c r="C34" s="31">
        <f t="array" ref="C34">INDEX(Calc!$C$47:$AI$47,MATCH(Summary!$A$6&amp;"|"&amp;C$29,Calc!$C$6:$AI$6,0))</f>
        <v>0.1759225849</v>
      </c>
      <c r="D34" s="31">
        <f t="array" ref="D34">INDEX(Calc!$C$47:$AI$47,MATCH(Summary!$A$6&amp;"|"&amp;D$29,Calc!$C$6:$AI$6,0))</f>
        <v>0.2944582074</v>
      </c>
      <c r="E34" s="4"/>
      <c r="F34" s="4"/>
      <c r="G34" s="4"/>
      <c r="H34" s="4"/>
      <c r="I34" s="4"/>
      <c r="J34" s="4"/>
      <c r="K34" s="4"/>
      <c r="L34" s="4"/>
      <c r="M34" s="4"/>
      <c r="N34" s="4"/>
      <c r="O34" s="4"/>
      <c r="P34" s="4"/>
      <c r="Q34" s="4"/>
      <c r="R34" s="4"/>
      <c r="S34" s="4"/>
      <c r="T34" s="4"/>
      <c r="U34" s="4"/>
      <c r="V34" s="4"/>
      <c r="W34" s="4"/>
      <c r="X34" s="4"/>
      <c r="Y34" s="4"/>
      <c r="Z34" s="4"/>
    </row>
    <row r="35" ht="15.75" customHeight="1">
      <c r="A35" s="10" t="s">
        <v>194</v>
      </c>
      <c r="B35" s="31">
        <f t="array" ref="B35">INDEX(Calc!$C$48:$AI$48,MATCH(Summary!$A$6&amp;"|"&amp;B$29,Calc!$C$6:$AI$6,0))</f>
        <v>0.36</v>
      </c>
      <c r="C35" s="31">
        <f t="array" ref="C35">INDEX(Calc!$C$48:$AI$48,MATCH(Summary!$A$6&amp;"|"&amp;C$29,Calc!$C$6:$AI$6,0))</f>
        <v>0.3933333333</v>
      </c>
      <c r="D35" s="31">
        <f t="array" ref="D35">INDEX(Calc!$C$48:$AI$48,MATCH(Summary!$A$6&amp;"|"&amp;D$29,Calc!$C$6:$AI$6,0))</f>
        <v>0.3266666667</v>
      </c>
      <c r="E35" s="4"/>
      <c r="F35" s="4"/>
      <c r="G35" s="4"/>
      <c r="H35" s="4"/>
      <c r="I35" s="4"/>
      <c r="J35" s="4"/>
      <c r="K35" s="4"/>
      <c r="L35" s="4"/>
      <c r="M35" s="4"/>
      <c r="N35" s="4"/>
      <c r="O35" s="4"/>
      <c r="P35" s="4"/>
      <c r="Q35" s="4"/>
      <c r="R35" s="4"/>
      <c r="S35" s="4"/>
      <c r="T35" s="4"/>
      <c r="U35" s="4"/>
      <c r="V35" s="4"/>
      <c r="W35" s="4"/>
      <c r="X35" s="4"/>
      <c r="Y35" s="4"/>
      <c r="Z35" s="4"/>
    </row>
    <row r="36" ht="15.75" customHeight="1">
      <c r="A36" s="10" t="s">
        <v>195</v>
      </c>
      <c r="B36" s="31">
        <f t="array" ref="B36">INDEX(Calc!$C$50:$AI$50,MATCH(Summary!$A$6&amp;"|"&amp;B$29,Calc!$C$6:$AI$6,0))</f>
        <v>0.3435705209</v>
      </c>
      <c r="C36" s="31">
        <f t="array" ref="C36">INDEX(Calc!$C$50:$AI$50,MATCH(Summary!$A$6&amp;"|"&amp;C$29,Calc!$C$6:$AI$6,0))</f>
        <v>0.2325210495</v>
      </c>
      <c r="D36" s="31">
        <f t="array" ref="D36">INDEX(Calc!$C$50:$AI$50,MATCH(Summary!$A$6&amp;"|"&amp;D$29,Calc!$C$6:$AI$6,0))</f>
        <v>0.2944123867</v>
      </c>
      <c r="E36" s="4"/>
      <c r="F36" s="4"/>
      <c r="G36" s="4"/>
      <c r="H36" s="4"/>
      <c r="I36" s="4"/>
      <c r="J36" s="4"/>
      <c r="K36" s="4"/>
      <c r="L36" s="4"/>
      <c r="M36" s="4"/>
      <c r="N36" s="4"/>
      <c r="O36" s="4"/>
      <c r="P36" s="4"/>
      <c r="Q36" s="4"/>
      <c r="R36" s="4"/>
      <c r="S36" s="4"/>
      <c r="T36" s="4"/>
      <c r="U36" s="4"/>
      <c r="V36" s="4"/>
      <c r="W36" s="4"/>
      <c r="X36" s="4"/>
      <c r="Y36" s="4"/>
      <c r="Z36" s="4"/>
    </row>
    <row r="37" ht="15.75" customHeight="1">
      <c r="A37" s="10" t="s">
        <v>196</v>
      </c>
      <c r="B37" s="31">
        <f t="array" ref="B37">INDEX(Calc!$C$52:$AI$52,MATCH(Summary!$A$6&amp;"|"&amp;B$29,Calc!$C$6:$AI$6,0))</f>
        <v>-0.1456357264</v>
      </c>
      <c r="C37" s="31">
        <f t="array" ref="C37">INDEX(Calc!$C$52:$AI$52,MATCH(Summary!$A$6&amp;"|"&amp;C$29,Calc!$C$6:$AI$6,0))</f>
        <v>0</v>
      </c>
      <c r="D37" s="31">
        <f t="array" ref="D37">INDEX(Calc!$C$52:$AI$52,MATCH(Summary!$A$6&amp;"|"&amp;D$29,Calc!$C$6:$AI$6,0))</f>
        <v>0</v>
      </c>
      <c r="E37" s="4"/>
      <c r="F37" s="4"/>
      <c r="G37" s="4"/>
      <c r="H37" s="4"/>
      <c r="I37" s="4"/>
      <c r="J37" s="4"/>
      <c r="K37" s="4"/>
      <c r="L37" s="4"/>
      <c r="M37" s="4"/>
      <c r="N37" s="4"/>
      <c r="O37" s="4"/>
      <c r="P37" s="4"/>
      <c r="Q37" s="4"/>
      <c r="R37" s="4"/>
      <c r="S37" s="4"/>
      <c r="T37" s="4"/>
      <c r="U37" s="4"/>
      <c r="V37" s="4"/>
      <c r="W37" s="4"/>
      <c r="X37" s="4"/>
      <c r="Y37" s="4"/>
      <c r="Z37" s="4"/>
    </row>
    <row r="38" ht="15.75" customHeight="1">
      <c r="A38" s="10" t="s">
        <v>197</v>
      </c>
      <c r="B38" s="31">
        <f t="array" ref="B38">INDEX(Calc!$C$56:$AI$56,MATCH(Summary!$A$6&amp;"|"&amp;B$29,Calc!$C$6:$AI$6,0))</f>
        <v>0.0084</v>
      </c>
      <c r="C38" s="31">
        <f t="array" ref="C38">INDEX(Calc!$C$56:$AI$56,MATCH(Summary!$A$6&amp;"|"&amp;C$29,Calc!$C$6:$AI$6,0))</f>
        <v>0.1365</v>
      </c>
      <c r="D38" s="31">
        <f t="array" ref="D38">INDEX(Calc!$C$56:$AI$56,MATCH(Summary!$A$6&amp;"|"&amp;D$29,Calc!$C$6:$AI$6,0))</f>
        <v>0.1575</v>
      </c>
      <c r="E38" s="4"/>
      <c r="F38" s="4"/>
      <c r="G38" s="4"/>
      <c r="H38" s="4"/>
      <c r="I38" s="4"/>
      <c r="J38" s="4"/>
      <c r="K38" s="4"/>
      <c r="L38" s="4"/>
      <c r="M38" s="4"/>
      <c r="N38" s="4"/>
      <c r="O38" s="4"/>
      <c r="P38" s="4"/>
      <c r="Q38" s="4"/>
      <c r="R38" s="4"/>
      <c r="S38" s="4"/>
      <c r="T38" s="4"/>
      <c r="U38" s="4"/>
      <c r="V38" s="4"/>
      <c r="W38" s="4"/>
      <c r="X38" s="4"/>
      <c r="Y38" s="4"/>
      <c r="Z38" s="4"/>
    </row>
    <row r="39" ht="15.75" customHeight="1">
      <c r="A39" s="10" t="s">
        <v>121</v>
      </c>
      <c r="B39" s="31">
        <f t="array" ref="B39">INDEX(Calc!$C$57:$AI$57,MATCH(Summary!$A$6&amp;"|"&amp;B$29,Calc!$C$6:$AI$6,0))</f>
        <v>0.004015385027</v>
      </c>
      <c r="C39" s="31">
        <f t="array" ref="C39">INDEX(Calc!$C$57:$AI$57,MATCH(Summary!$A$6&amp;"|"&amp;C$29,Calc!$C$6:$AI$6,0))</f>
        <v>0.009417102503</v>
      </c>
      <c r="D39" s="31">
        <f t="array" ref="D39">INDEX(Calc!$C$57:$AI$57,MATCH(Summary!$A$6&amp;"|"&amp;D$29,Calc!$C$6:$AI$6,0))</f>
        <v>0.01069698338</v>
      </c>
      <c r="E39" s="4"/>
      <c r="F39" s="4"/>
      <c r="G39" s="4"/>
      <c r="H39" s="4"/>
      <c r="I39" s="4"/>
      <c r="J39" s="4"/>
      <c r="K39" s="4"/>
      <c r="L39" s="4"/>
      <c r="M39" s="4"/>
      <c r="N39" s="4"/>
      <c r="O39" s="4"/>
      <c r="P39" s="4"/>
      <c r="Q39" s="4"/>
      <c r="R39" s="4"/>
      <c r="S39" s="4"/>
      <c r="T39" s="4"/>
      <c r="U39" s="4"/>
      <c r="V39" s="4"/>
      <c r="W39" s="4"/>
      <c r="X39" s="4"/>
      <c r="Y39" s="4"/>
      <c r="Z39" s="4"/>
    </row>
    <row r="40" ht="15.75" customHeight="1">
      <c r="A40" s="10" t="s">
        <v>198</v>
      </c>
      <c r="B40" s="31">
        <f t="array" ref="B40">INDEX(Calc!$C$60:$AI$60,MATCH(Summary!$A$6&amp;"|"&amp;B$29,Calc!$C$6:$AI$6,0))+INDEX(Calc!$C$61:$AI$61,MATCH(Summary!$A$6&amp;"|"&amp;B$29,Calc!$C$6:$AI$6,0))+INDEX(Calc!$C$62:$AI$62,MATCH(Summary!$A$6&amp;"|"&amp;B$29,Calc!$C$6:$AI$6,0))</f>
        <v>0</v>
      </c>
      <c r="C40" s="31">
        <f t="array" ref="C40">INDEX(Calc!$C$60:$AI$60,MATCH(Summary!$A$6&amp;"|"&amp;C$29,Calc!$C$6:$AI$6,0))+INDEX(Calc!$C$61:$AI$61,MATCH(Summary!$A$6&amp;"|"&amp;C$29,Calc!$C$6:$AI$6,0))+INDEX(Calc!$C$62:$AI$62,MATCH(Summary!$A$6&amp;"|"&amp;C$29,Calc!$C$6:$AI$6,0))</f>
        <v>0.3613446397</v>
      </c>
      <c r="D40" s="31">
        <f t="array" ref="D40">INDEX(Calc!$C$60:$AI$60,MATCH(Summary!$A$6&amp;"|"&amp;D$29,Calc!$C$6:$AI$6,0))+INDEX(Calc!$C$61:$AI$61,MATCH(Summary!$A$6&amp;"|"&amp;D$29,Calc!$C$6:$AI$6,0))+INDEX(Calc!$C$62:$AI$62,MATCH(Summary!$A$6&amp;"|"&amp;D$29,Calc!$C$6:$AI$6,0))</f>
        <v>0.2053621961</v>
      </c>
      <c r="E40" s="4"/>
      <c r="F40" s="4"/>
      <c r="G40" s="4"/>
      <c r="H40" s="4"/>
      <c r="I40" s="4"/>
      <c r="J40" s="4"/>
      <c r="K40" s="4"/>
      <c r="L40" s="4"/>
      <c r="M40" s="4"/>
      <c r="N40" s="4"/>
      <c r="O40" s="4"/>
      <c r="P40" s="4"/>
      <c r="Q40" s="4"/>
      <c r="R40" s="4"/>
      <c r="S40" s="4"/>
      <c r="T40" s="4"/>
      <c r="U40" s="4"/>
      <c r="V40" s="4"/>
      <c r="W40" s="4"/>
      <c r="X40" s="4"/>
      <c r="Y40" s="4"/>
      <c r="Z40" s="4"/>
    </row>
    <row r="41" ht="15.75" customHeight="1">
      <c r="A41" s="10" t="s">
        <v>199</v>
      </c>
      <c r="B41" s="31">
        <f t="array" ref="B41">INDEX(Calc!$C$63:$AI$63,MATCH(Summary!$A$6&amp;"|"&amp;B$29,Calc!$C$6:$AI$6,0))+INDEX(Calc!$C$64:$AI$64,MATCH(Summary!$A$6&amp;"|"&amp;B$29,Calc!$C$6:$AI$6,0))</f>
        <v>0</v>
      </c>
      <c r="C41" s="31">
        <f t="array" ref="C41">INDEX(Calc!$C$63:$AI$63,MATCH(Summary!$A$6&amp;"|"&amp;C$29,Calc!$C$6:$AI$6,0))+INDEX(Calc!$C$64:$AI$64,MATCH(Summary!$A$6&amp;"|"&amp;C$29,Calc!$C$6:$AI$6,0))</f>
        <v>0.01663980508</v>
      </c>
      <c r="D41" s="31">
        <f t="array" ref="D41">INDEX(Calc!$C$63:$AI$63,MATCH(Summary!$A$6&amp;"|"&amp;D$29,Calc!$C$6:$AI$6,0))+INDEX(Calc!$C$64:$AI$64,MATCH(Summary!$A$6&amp;"|"&amp;D$29,Calc!$C$6:$AI$6,0))</f>
        <v>0.01843543244</v>
      </c>
      <c r="E41" s="4"/>
      <c r="F41" s="4"/>
      <c r="G41" s="4"/>
      <c r="H41" s="4"/>
      <c r="I41" s="4"/>
      <c r="J41" s="4"/>
      <c r="K41" s="4"/>
      <c r="L41" s="4"/>
      <c r="M41" s="4"/>
      <c r="N41" s="4"/>
      <c r="O41" s="4"/>
      <c r="P41" s="4"/>
      <c r="Q41" s="4"/>
      <c r="R41" s="4"/>
      <c r="S41" s="4"/>
      <c r="T41" s="4"/>
      <c r="U41" s="4"/>
      <c r="V41" s="4"/>
      <c r="W41" s="4"/>
      <c r="X41" s="4"/>
      <c r="Y41" s="4"/>
      <c r="Z41" s="4"/>
    </row>
    <row r="42" ht="15.75" customHeight="1">
      <c r="A42" s="10" t="s">
        <v>200</v>
      </c>
      <c r="B42" s="31">
        <f t="array" ref="B42">INDEX(Calc!$C$65:$AI$65,MATCH(Summary!$A$6&amp;"|"&amp;B$29,Calc!$C$6:$AI$6,0))</f>
        <v>0.002200210974</v>
      </c>
      <c r="C42" s="31">
        <f t="array" ref="C42">INDEX(Calc!$C$65:$AI$65,MATCH(Summary!$A$6&amp;"|"&amp;C$29,Calc!$C$6:$AI$6,0))</f>
        <v>0.01427615539</v>
      </c>
      <c r="D42" s="31">
        <f t="array" ref="D42">INDEX(Calc!$C$65:$AI$65,MATCH(Summary!$A$6&amp;"|"&amp;D$29,Calc!$C$6:$AI$6,0))</f>
        <v>0.0121134789</v>
      </c>
      <c r="E42" s="4"/>
      <c r="F42" s="4"/>
      <c r="G42" s="4"/>
      <c r="H42" s="4"/>
      <c r="I42" s="4"/>
      <c r="J42" s="4"/>
      <c r="K42" s="4"/>
      <c r="L42" s="4"/>
      <c r="M42" s="4"/>
      <c r="N42" s="4"/>
      <c r="O42" s="4"/>
      <c r="P42" s="4"/>
      <c r="Q42" s="4"/>
      <c r="R42" s="4"/>
      <c r="S42" s="4"/>
      <c r="T42" s="4"/>
      <c r="U42" s="4"/>
      <c r="V42" s="4"/>
      <c r="W42" s="4"/>
      <c r="X42" s="4"/>
      <c r="Y42" s="4"/>
      <c r="Z42" s="4"/>
    </row>
    <row r="43" ht="15.75" customHeight="1">
      <c r="A43" s="46" t="s">
        <v>201</v>
      </c>
      <c r="B43" s="47">
        <f t="shared" ref="B43:D43" si="4">SUM(B30:B42)</f>
        <v>4.030000623</v>
      </c>
      <c r="C43" s="47">
        <f t="shared" si="4"/>
        <v>3.67721187</v>
      </c>
      <c r="D43" s="47">
        <f t="shared" si="4"/>
        <v>3.969769218</v>
      </c>
      <c r="E43" s="4"/>
      <c r="F43" s="4"/>
      <c r="G43" s="4"/>
      <c r="H43" s="4"/>
      <c r="I43" s="4"/>
      <c r="J43" s="4"/>
      <c r="K43" s="4"/>
      <c r="L43" s="4"/>
      <c r="M43" s="4"/>
      <c r="N43" s="4"/>
      <c r="O43" s="4"/>
      <c r="P43" s="4"/>
      <c r="Q43" s="4"/>
      <c r="R43" s="4"/>
      <c r="S43" s="4"/>
      <c r="T43" s="4"/>
      <c r="U43" s="4"/>
      <c r="V43" s="4"/>
      <c r="W43" s="4"/>
      <c r="X43" s="4"/>
      <c r="Y43" s="4"/>
      <c r="Z43" s="4"/>
    </row>
    <row r="44" ht="15.75" customHeight="1">
      <c r="A44" s="3" t="s">
        <v>202</v>
      </c>
      <c r="B44" s="38">
        <f t="array" ref="B44">ROUND(B43-INDEX(Calc!$C$66:$AI$66,MATCH(Summary!$A$6&amp;"|"&amp;B$29,Calc!$C$6:$AI$6,0)),6)</f>
        <v>0</v>
      </c>
      <c r="C44" s="38">
        <f t="array" ref="C44">ROUND(C43-INDEX(Calc!$C$66:$AI$66,MATCH(Summary!$A$6&amp;"|"&amp;C$29,Calc!$C$6:$AI$6,0)),6)</f>
        <v>0</v>
      </c>
      <c r="D44" s="38">
        <f t="array" ref="D44">ROUND(D43-INDEX(Calc!$C$66:$AI$66,MATCH(Summary!$A$6&amp;"|"&amp;D$29,Calc!$C$6:$AI$6,0)),6)</f>
        <v>0</v>
      </c>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B6:D16">
    <cfRule type="expression" dxfId="0" priority="1">
      <formula>B6=MIN($B6:$D6)</formula>
    </cfRule>
  </conditionalFormatting>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6.0"/>
    <col customWidth="1" min="2" max="5" width="14.0"/>
    <col customWidth="1" min="6" max="6" width="78.0"/>
    <col customWidth="1" min="7" max="26" width="8.71"/>
  </cols>
  <sheetData>
    <row r="1">
      <c r="A1" s="2" t="s">
        <v>0</v>
      </c>
    </row>
    <row r="2">
      <c r="A2" s="3" t="s">
        <v>2</v>
      </c>
    </row>
    <row r="4">
      <c r="A4" s="6" t="s">
        <v>4</v>
      </c>
      <c r="B4" s="8"/>
      <c r="C4" s="8"/>
      <c r="D4" s="8"/>
      <c r="E4" s="8"/>
      <c r="F4" s="8"/>
    </row>
    <row r="5">
      <c r="A5" s="9" t="s">
        <v>7</v>
      </c>
      <c r="B5" s="9" t="s">
        <v>8</v>
      </c>
      <c r="C5" s="9" t="s">
        <v>9</v>
      </c>
      <c r="D5" s="9"/>
      <c r="E5" s="9"/>
      <c r="F5" s="9" t="s">
        <v>10</v>
      </c>
    </row>
    <row r="6">
      <c r="A6" s="10" t="s">
        <v>11</v>
      </c>
      <c r="B6" s="12">
        <v>28.0</v>
      </c>
      <c r="C6" s="10" t="s">
        <v>13</v>
      </c>
      <c r="D6" s="4"/>
      <c r="E6" s="4"/>
      <c r="F6" s="13" t="s">
        <v>15</v>
      </c>
    </row>
    <row r="7">
      <c r="A7" s="10" t="s">
        <v>17</v>
      </c>
      <c r="B7" s="12">
        <v>85.0</v>
      </c>
      <c r="C7" s="10" t="s">
        <v>13</v>
      </c>
      <c r="D7" s="4"/>
      <c r="E7" s="4"/>
      <c r="F7" s="13" t="s">
        <v>20</v>
      </c>
    </row>
    <row r="8">
      <c r="A8" s="10" t="s">
        <v>22</v>
      </c>
      <c r="B8" s="14">
        <v>0.6</v>
      </c>
      <c r="C8" s="10" t="s">
        <v>29</v>
      </c>
      <c r="D8" s="4"/>
      <c r="E8" s="4"/>
      <c r="F8" s="13" t="s">
        <v>30</v>
      </c>
    </row>
    <row r="9">
      <c r="A9" s="10" t="s">
        <v>31</v>
      </c>
      <c r="B9" s="15">
        <v>3134.0</v>
      </c>
      <c r="C9" s="10" t="s">
        <v>35</v>
      </c>
      <c r="D9" s="4"/>
      <c r="E9" s="4"/>
      <c r="F9" s="13" t="s">
        <v>36</v>
      </c>
    </row>
    <row r="10">
      <c r="A10" s="10" t="s">
        <v>37</v>
      </c>
      <c r="B10" s="15">
        <v>5000000.0</v>
      </c>
      <c r="C10" s="10" t="s">
        <v>38</v>
      </c>
      <c r="D10" s="4"/>
      <c r="E10" s="4"/>
      <c r="F10" s="13" t="s">
        <v>39</v>
      </c>
    </row>
    <row r="11">
      <c r="A11" s="10" t="s">
        <v>40</v>
      </c>
      <c r="B11" s="14">
        <v>0.1</v>
      </c>
      <c r="C11" s="10" t="s">
        <v>29</v>
      </c>
      <c r="D11" s="4"/>
      <c r="E11" s="4"/>
      <c r="F11" s="13" t="s">
        <v>43</v>
      </c>
    </row>
    <row r="12">
      <c r="A12" s="10" t="s">
        <v>44</v>
      </c>
      <c r="B12" s="12">
        <v>3.0</v>
      </c>
      <c r="C12" s="10" t="s">
        <v>45</v>
      </c>
      <c r="D12" s="4"/>
      <c r="E12" s="4"/>
      <c r="F12" s="13" t="s">
        <v>46</v>
      </c>
    </row>
    <row r="13">
      <c r="A13" s="10" t="s">
        <v>47</v>
      </c>
      <c r="B13" s="18">
        <v>0.07</v>
      </c>
      <c r="C13" s="10" t="s">
        <v>49</v>
      </c>
      <c r="D13" s="4"/>
      <c r="E13" s="4"/>
      <c r="F13" s="13" t="s">
        <v>51</v>
      </c>
    </row>
    <row r="14">
      <c r="A14" s="10" t="s">
        <v>52</v>
      </c>
      <c r="B14" s="14">
        <v>0.1</v>
      </c>
      <c r="C14" s="10" t="s">
        <v>29</v>
      </c>
      <c r="D14" s="4"/>
      <c r="E14" s="4"/>
      <c r="F14" s="13" t="s">
        <v>54</v>
      </c>
    </row>
    <row r="15">
      <c r="A15" s="10" t="s">
        <v>55</v>
      </c>
      <c r="B15" s="17">
        <v>0.08</v>
      </c>
      <c r="C15" s="10" t="s">
        <v>29</v>
      </c>
      <c r="D15" s="4"/>
      <c r="E15" s="4"/>
      <c r="F15" s="13" t="s">
        <v>58</v>
      </c>
    </row>
    <row r="16">
      <c r="A16" s="10" t="s">
        <v>59</v>
      </c>
      <c r="B16" s="17">
        <v>0.06</v>
      </c>
      <c r="C16" s="10" t="s">
        <v>29</v>
      </c>
      <c r="D16" s="4"/>
      <c r="E16" s="4"/>
      <c r="F16" s="13" t="s">
        <v>61</v>
      </c>
    </row>
    <row r="17">
      <c r="A17" s="6" t="s">
        <v>62</v>
      </c>
      <c r="B17" s="8"/>
      <c r="C17" s="8"/>
      <c r="D17" s="8"/>
      <c r="E17" s="8"/>
      <c r="F17" s="8"/>
    </row>
    <row r="18">
      <c r="A18" s="9" t="s">
        <v>7</v>
      </c>
      <c r="B18" s="9" t="s">
        <v>9</v>
      </c>
      <c r="C18" s="9" t="s">
        <v>66</v>
      </c>
      <c r="D18" s="9" t="s">
        <v>67</v>
      </c>
      <c r="E18" s="9" t="s">
        <v>68</v>
      </c>
      <c r="F18" s="9" t="s">
        <v>10</v>
      </c>
    </row>
    <row r="19">
      <c r="A19" s="10" t="s">
        <v>69</v>
      </c>
      <c r="B19" s="10" t="s">
        <v>70</v>
      </c>
      <c r="C19" s="12">
        <v>0.0</v>
      </c>
      <c r="D19" s="12">
        <v>1.0</v>
      </c>
      <c r="E19" s="12">
        <v>1.0</v>
      </c>
      <c r="F19" s="13" t="s">
        <v>72</v>
      </c>
    </row>
    <row r="20">
      <c r="A20" s="10" t="s">
        <v>74</v>
      </c>
      <c r="B20" s="10" t="s">
        <v>35</v>
      </c>
      <c r="C20" s="12">
        <v>520.0</v>
      </c>
      <c r="D20" s="12">
        <v>330.0</v>
      </c>
      <c r="E20" s="12">
        <v>450.0</v>
      </c>
      <c r="F20" s="13" t="s">
        <v>76</v>
      </c>
    </row>
    <row r="21" ht="15.75" customHeight="1">
      <c r="A21" s="10" t="s">
        <v>78</v>
      </c>
      <c r="B21" s="10" t="s">
        <v>79</v>
      </c>
      <c r="C21" s="20">
        <v>9.0</v>
      </c>
      <c r="D21" s="20">
        <v>8.0</v>
      </c>
      <c r="E21" s="20">
        <v>8.8</v>
      </c>
      <c r="F21" s="13" t="s">
        <v>81</v>
      </c>
    </row>
    <row r="22" ht="15.75" customHeight="1">
      <c r="A22" s="10" t="s">
        <v>82</v>
      </c>
      <c r="B22" s="10" t="s">
        <v>83</v>
      </c>
      <c r="C22" s="20">
        <v>14.0</v>
      </c>
      <c r="D22" s="20">
        <v>11.5</v>
      </c>
      <c r="E22" s="20">
        <v>12.5</v>
      </c>
      <c r="F22" s="13" t="s">
        <v>85</v>
      </c>
    </row>
    <row r="23" ht="15.75" customHeight="1">
      <c r="A23" s="10" t="s">
        <v>86</v>
      </c>
      <c r="B23" s="10" t="s">
        <v>87</v>
      </c>
      <c r="C23" s="18">
        <v>0.25</v>
      </c>
      <c r="D23" s="18">
        <v>0.25</v>
      </c>
      <c r="E23" s="18">
        <v>0.25</v>
      </c>
      <c r="F23" s="13" t="s">
        <v>88</v>
      </c>
    </row>
    <row r="24" ht="15.75" customHeight="1">
      <c r="A24" s="10" t="s">
        <v>89</v>
      </c>
      <c r="B24" s="10" t="s">
        <v>83</v>
      </c>
      <c r="C24" s="18">
        <v>3.2</v>
      </c>
      <c r="D24" s="18">
        <v>6.5</v>
      </c>
      <c r="E24" s="18">
        <v>3.8</v>
      </c>
      <c r="F24" s="13" t="s">
        <v>91</v>
      </c>
    </row>
    <row r="25" ht="15.75" customHeight="1">
      <c r="A25" s="10" t="s">
        <v>92</v>
      </c>
      <c r="B25" s="10" t="s">
        <v>93</v>
      </c>
      <c r="C25" s="21">
        <v>0.55</v>
      </c>
      <c r="D25" s="21">
        <v>0.4</v>
      </c>
      <c r="E25" s="21">
        <v>0.48</v>
      </c>
      <c r="F25" s="13" t="s">
        <v>95</v>
      </c>
    </row>
    <row r="26" ht="15.75" customHeight="1">
      <c r="A26" s="10" t="s">
        <v>96</v>
      </c>
      <c r="B26" s="10" t="s">
        <v>29</v>
      </c>
      <c r="C26" s="17">
        <v>0.86</v>
      </c>
      <c r="D26" s="17">
        <v>0.93</v>
      </c>
      <c r="E26" s="17">
        <v>0.9</v>
      </c>
      <c r="F26" s="13" t="s">
        <v>98</v>
      </c>
    </row>
    <row r="27" ht="15.75" customHeight="1">
      <c r="A27" s="10" t="s">
        <v>99</v>
      </c>
      <c r="B27" s="10" t="s">
        <v>100</v>
      </c>
      <c r="C27" s="22">
        <v>1800000.0</v>
      </c>
      <c r="D27" s="22">
        <v>1400000.0</v>
      </c>
      <c r="E27" s="22">
        <v>1600000.0</v>
      </c>
      <c r="F27" s="13" t="s">
        <v>95</v>
      </c>
    </row>
    <row r="28" ht="15.75" customHeight="1">
      <c r="A28" s="10" t="s">
        <v>102</v>
      </c>
      <c r="B28" s="10" t="s">
        <v>103</v>
      </c>
      <c r="C28" s="22">
        <v>1200000.0</v>
      </c>
      <c r="D28" s="22">
        <v>1500000.0</v>
      </c>
      <c r="E28" s="22">
        <v>1100000.0</v>
      </c>
      <c r="F28" s="13" t="s">
        <v>105</v>
      </c>
    </row>
    <row r="29" ht="15.75" customHeight="1">
      <c r="A29" s="10" t="s">
        <v>106</v>
      </c>
      <c r="B29" s="10" t="s">
        <v>29</v>
      </c>
      <c r="C29" s="14">
        <v>0.09</v>
      </c>
      <c r="D29" s="14">
        <v>0.08</v>
      </c>
      <c r="E29" s="14">
        <v>0.09</v>
      </c>
      <c r="F29" s="13" t="s">
        <v>95</v>
      </c>
    </row>
    <row r="30" ht="15.75" customHeight="1">
      <c r="A30" s="10" t="s">
        <v>108</v>
      </c>
      <c r="B30" s="10" t="s">
        <v>109</v>
      </c>
      <c r="C30" s="18">
        <v>0.12</v>
      </c>
      <c r="D30" s="18">
        <v>0.45</v>
      </c>
      <c r="E30" s="18">
        <v>0.55</v>
      </c>
      <c r="F30" s="13" t="s">
        <v>110</v>
      </c>
    </row>
    <row r="31" ht="15.75" customHeight="1">
      <c r="A31" s="10" t="s">
        <v>111</v>
      </c>
      <c r="B31" s="10" t="s">
        <v>109</v>
      </c>
      <c r="C31" s="18">
        <v>0.0</v>
      </c>
      <c r="D31" s="18">
        <v>4.2</v>
      </c>
      <c r="E31" s="18">
        <v>4.8</v>
      </c>
      <c r="F31" s="13" t="s">
        <v>95</v>
      </c>
    </row>
    <row r="32" ht="15.75" customHeight="1">
      <c r="A32" s="10" t="s">
        <v>113</v>
      </c>
      <c r="B32" s="10" t="s">
        <v>29</v>
      </c>
      <c r="C32" s="17">
        <v>0.0</v>
      </c>
      <c r="D32" s="17">
        <v>0.4</v>
      </c>
      <c r="E32" s="17">
        <v>0.4</v>
      </c>
      <c r="F32" s="13" t="s">
        <v>115</v>
      </c>
    </row>
    <row r="33" ht="15.75" customHeight="1">
      <c r="A33" s="10" t="s">
        <v>116</v>
      </c>
      <c r="B33" s="10" t="s">
        <v>117</v>
      </c>
      <c r="C33" s="12">
        <v>2.0</v>
      </c>
      <c r="D33" s="12">
        <v>25.0</v>
      </c>
      <c r="E33" s="12">
        <v>18.0</v>
      </c>
      <c r="F33" s="13" t="s">
        <v>95</v>
      </c>
    </row>
    <row r="34" ht="15.75" customHeight="1">
      <c r="A34" s="10" t="s">
        <v>119</v>
      </c>
      <c r="B34" s="10" t="s">
        <v>117</v>
      </c>
      <c r="C34" s="12">
        <v>2.0</v>
      </c>
      <c r="D34" s="12">
        <v>4.0</v>
      </c>
      <c r="E34" s="12">
        <v>4.0</v>
      </c>
      <c r="F34" s="13" t="s">
        <v>95</v>
      </c>
    </row>
    <row r="35" ht="15.75" customHeight="1">
      <c r="A35" s="10" t="s">
        <v>121</v>
      </c>
      <c r="B35" s="10" t="s">
        <v>122</v>
      </c>
      <c r="C35" s="23">
        <v>0.001</v>
      </c>
      <c r="D35" s="23">
        <v>0.003</v>
      </c>
      <c r="E35" s="23">
        <v>0.003</v>
      </c>
      <c r="F35" s="13" t="s">
        <v>95</v>
      </c>
    </row>
    <row r="36" ht="15.75" customHeight="1">
      <c r="A36" s="10" t="s">
        <v>124</v>
      </c>
      <c r="B36" s="10" t="s">
        <v>29</v>
      </c>
      <c r="C36" s="17">
        <v>0.0</v>
      </c>
      <c r="D36" s="17">
        <v>0.1</v>
      </c>
      <c r="E36" s="17">
        <v>0.05</v>
      </c>
      <c r="F36" s="13" t="s">
        <v>126</v>
      </c>
    </row>
    <row r="37" ht="15.75" customHeight="1">
      <c r="A37" s="10" t="s">
        <v>127</v>
      </c>
      <c r="B37" s="10" t="s">
        <v>128</v>
      </c>
      <c r="C37" s="14">
        <v>0.0</v>
      </c>
      <c r="D37" s="14">
        <v>0.0</v>
      </c>
      <c r="E37" s="14">
        <v>0.0</v>
      </c>
      <c r="F37" s="13" t="s">
        <v>129</v>
      </c>
    </row>
    <row r="38" ht="15.75" customHeight="1">
      <c r="A38" s="10" t="s">
        <v>131</v>
      </c>
      <c r="B38" s="10" t="s">
        <v>128</v>
      </c>
      <c r="C38" s="23">
        <v>0.0</v>
      </c>
      <c r="D38" s="23">
        <v>0.004</v>
      </c>
      <c r="E38" s="23">
        <v>0.004</v>
      </c>
      <c r="F38" s="13" t="s">
        <v>95</v>
      </c>
    </row>
    <row r="39" ht="15.75" customHeight="1">
      <c r="A39" s="10" t="s">
        <v>132</v>
      </c>
      <c r="B39" s="10" t="s">
        <v>109</v>
      </c>
      <c r="C39" s="18">
        <v>0.0</v>
      </c>
      <c r="D39" s="18">
        <v>0.05</v>
      </c>
      <c r="E39" s="18">
        <v>0.05</v>
      </c>
      <c r="F39" s="13" t="s">
        <v>134</v>
      </c>
    </row>
    <row r="40" ht="15.75" customHeight="1">
      <c r="A40" s="10" t="s">
        <v>135</v>
      </c>
      <c r="B40" s="10" t="s">
        <v>136</v>
      </c>
      <c r="C40" s="17">
        <v>0.07</v>
      </c>
      <c r="D40" s="17">
        <v>0.0</v>
      </c>
      <c r="E40" s="17">
        <v>0.0</v>
      </c>
      <c r="F40" s="13" t="s">
        <v>137</v>
      </c>
    </row>
    <row r="41" ht="15.75" customHeight="1">
      <c r="A41" s="10" t="s">
        <v>138</v>
      </c>
      <c r="B41" s="10" t="s">
        <v>29</v>
      </c>
      <c r="C41" s="17">
        <v>0.5</v>
      </c>
      <c r="D41" s="17">
        <v>0.0</v>
      </c>
      <c r="E41" s="17">
        <v>0.0</v>
      </c>
      <c r="F41" s="13" t="s">
        <v>139</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2.0"/>
    <col customWidth="1" min="2" max="2" width="15.0"/>
    <col customWidth="1" min="3" max="4" width="13.0"/>
    <col customWidth="1" min="5" max="5" width="15.0"/>
    <col customWidth="1" min="6" max="6" width="17.0"/>
    <col customWidth="1" min="7" max="7" width="15.0"/>
    <col customWidth="1" min="8" max="8" width="70.0"/>
    <col customWidth="1" min="9" max="26" width="8.71"/>
  </cols>
  <sheetData>
    <row r="1">
      <c r="A1" s="2" t="s">
        <v>1</v>
      </c>
      <c r="B1" s="4"/>
      <c r="C1" s="4"/>
      <c r="D1" s="4"/>
      <c r="E1" s="4"/>
      <c r="F1" s="4"/>
      <c r="G1" s="4"/>
      <c r="H1" s="4"/>
      <c r="I1" s="4"/>
      <c r="J1" s="4"/>
      <c r="K1" s="4"/>
      <c r="L1" s="4"/>
      <c r="M1" s="4"/>
      <c r="N1" s="4"/>
      <c r="O1" s="4"/>
      <c r="P1" s="4"/>
      <c r="Q1" s="4"/>
      <c r="R1" s="4"/>
      <c r="S1" s="4"/>
      <c r="T1" s="4"/>
      <c r="U1" s="4"/>
      <c r="V1" s="4"/>
      <c r="W1" s="4"/>
      <c r="X1" s="4"/>
      <c r="Y1" s="4"/>
      <c r="Z1" s="4"/>
    </row>
    <row r="2">
      <c r="A2" s="3" t="s">
        <v>6</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ht="42.0" customHeight="1">
      <c r="A4" s="9" t="s">
        <v>16</v>
      </c>
      <c r="B4" s="9" t="s">
        <v>18</v>
      </c>
      <c r="C4" s="9" t="s">
        <v>19</v>
      </c>
      <c r="D4" s="9" t="s">
        <v>21</v>
      </c>
      <c r="E4" s="9" t="s">
        <v>23</v>
      </c>
      <c r="F4" s="9" t="s">
        <v>24</v>
      </c>
      <c r="G4" s="9" t="s">
        <v>25</v>
      </c>
      <c r="H4" s="9" t="s">
        <v>27</v>
      </c>
      <c r="I4" s="4"/>
      <c r="J4" s="4"/>
      <c r="K4" s="4"/>
      <c r="L4" s="4"/>
      <c r="M4" s="4"/>
      <c r="N4" s="4"/>
      <c r="O4" s="4"/>
      <c r="P4" s="4"/>
      <c r="Q4" s="4"/>
      <c r="R4" s="4"/>
      <c r="S4" s="4"/>
      <c r="T4" s="4"/>
      <c r="U4" s="4"/>
      <c r="V4" s="4"/>
      <c r="W4" s="4"/>
      <c r="X4" s="4"/>
      <c r="Y4" s="4"/>
      <c r="Z4" s="4"/>
    </row>
    <row r="5">
      <c r="A5" s="16" t="s">
        <v>33</v>
      </c>
      <c r="B5" s="17">
        <v>0.0</v>
      </c>
      <c r="C5" s="19">
        <v>1.0</v>
      </c>
      <c r="D5" s="19">
        <v>1.0</v>
      </c>
      <c r="E5" s="19">
        <v>1.0</v>
      </c>
      <c r="F5" s="19">
        <v>1.0</v>
      </c>
      <c r="G5" s="17">
        <v>0.0</v>
      </c>
      <c r="H5" s="13" t="s">
        <v>53</v>
      </c>
      <c r="I5" s="4"/>
      <c r="J5" s="4"/>
      <c r="K5" s="4"/>
      <c r="L5" s="4"/>
      <c r="M5" s="4"/>
      <c r="N5" s="4"/>
      <c r="O5" s="4"/>
      <c r="P5" s="4"/>
      <c r="Q5" s="4"/>
      <c r="R5" s="4"/>
      <c r="S5" s="4"/>
      <c r="T5" s="4"/>
      <c r="U5" s="4"/>
      <c r="V5" s="4"/>
      <c r="W5" s="4"/>
      <c r="X5" s="4"/>
      <c r="Y5" s="4"/>
      <c r="Z5" s="4"/>
    </row>
    <row r="6">
      <c r="A6" s="16" t="s">
        <v>60</v>
      </c>
      <c r="B6" s="17">
        <v>0.1</v>
      </c>
      <c r="C6" s="19">
        <v>1.0</v>
      </c>
      <c r="D6" s="19">
        <v>1.0</v>
      </c>
      <c r="E6" s="19">
        <v>1.0</v>
      </c>
      <c r="F6" s="19">
        <v>1.0</v>
      </c>
      <c r="G6" s="17">
        <v>0.0</v>
      </c>
      <c r="H6" s="13" t="s">
        <v>65</v>
      </c>
      <c r="I6" s="4"/>
      <c r="J6" s="4"/>
      <c r="K6" s="4"/>
      <c r="L6" s="4"/>
      <c r="M6" s="4"/>
      <c r="N6" s="4"/>
      <c r="O6" s="4"/>
      <c r="P6" s="4"/>
      <c r="Q6" s="4"/>
      <c r="R6" s="4"/>
      <c r="S6" s="4"/>
      <c r="T6" s="4"/>
      <c r="U6" s="4"/>
      <c r="V6" s="4"/>
      <c r="W6" s="4"/>
      <c r="X6" s="4"/>
      <c r="Y6" s="4"/>
      <c r="Z6" s="4"/>
    </row>
    <row r="7">
      <c r="A7" s="16" t="s">
        <v>73</v>
      </c>
      <c r="B7" s="17">
        <v>-1.0</v>
      </c>
      <c r="C7" s="19">
        <v>1.0</v>
      </c>
      <c r="D7" s="19">
        <v>1.0</v>
      </c>
      <c r="E7" s="19">
        <v>1.0</v>
      </c>
      <c r="F7" s="19">
        <v>1.0</v>
      </c>
      <c r="G7" s="17">
        <v>0.0</v>
      </c>
      <c r="H7" s="13" t="s">
        <v>77</v>
      </c>
      <c r="I7" s="4"/>
      <c r="J7" s="4"/>
      <c r="K7" s="4"/>
      <c r="L7" s="4"/>
      <c r="M7" s="4"/>
      <c r="N7" s="4"/>
      <c r="O7" s="4"/>
      <c r="P7" s="4"/>
      <c r="Q7" s="4"/>
      <c r="R7" s="4"/>
      <c r="S7" s="4"/>
      <c r="T7" s="4"/>
      <c r="U7" s="4"/>
      <c r="V7" s="4"/>
      <c r="W7" s="4"/>
      <c r="X7" s="4"/>
      <c r="Y7" s="4"/>
      <c r="Z7" s="4"/>
    </row>
    <row r="8">
      <c r="A8" s="16" t="s">
        <v>80</v>
      </c>
      <c r="B8" s="17">
        <v>0.0</v>
      </c>
      <c r="C8" s="19">
        <v>2.5</v>
      </c>
      <c r="D8" s="19">
        <v>1.0</v>
      </c>
      <c r="E8" s="19">
        <v>1.0</v>
      </c>
      <c r="F8" s="19">
        <v>1.0</v>
      </c>
      <c r="G8" s="17">
        <v>0.0</v>
      </c>
      <c r="H8" s="13" t="s">
        <v>84</v>
      </c>
      <c r="I8" s="4"/>
      <c r="J8" s="4"/>
      <c r="K8" s="4"/>
      <c r="L8" s="4"/>
      <c r="M8" s="4"/>
      <c r="N8" s="4"/>
      <c r="O8" s="4"/>
      <c r="P8" s="4"/>
      <c r="Q8" s="4"/>
      <c r="R8" s="4"/>
      <c r="S8" s="4"/>
      <c r="T8" s="4"/>
      <c r="U8" s="4"/>
      <c r="V8" s="4"/>
      <c r="W8" s="4"/>
      <c r="X8" s="4"/>
      <c r="Y8" s="4"/>
      <c r="Z8" s="4"/>
    </row>
    <row r="9">
      <c r="A9" s="16" t="s">
        <v>90</v>
      </c>
      <c r="B9" s="17">
        <v>0.0</v>
      </c>
      <c r="C9" s="19">
        <v>1.0</v>
      </c>
      <c r="D9" s="19">
        <v>0.9</v>
      </c>
      <c r="E9" s="19">
        <v>1.0</v>
      </c>
      <c r="F9" s="19">
        <v>1.0</v>
      </c>
      <c r="G9" s="17">
        <v>0.0</v>
      </c>
      <c r="H9" s="13" t="s">
        <v>94</v>
      </c>
      <c r="I9" s="4"/>
      <c r="J9" s="4"/>
      <c r="K9" s="4"/>
      <c r="L9" s="4"/>
      <c r="M9" s="4"/>
      <c r="N9" s="4"/>
      <c r="O9" s="4"/>
      <c r="P9" s="4"/>
      <c r="Q9" s="4"/>
      <c r="R9" s="4"/>
      <c r="S9" s="4"/>
      <c r="T9" s="4"/>
      <c r="U9" s="4"/>
      <c r="V9" s="4"/>
      <c r="W9" s="4"/>
      <c r="X9" s="4"/>
      <c r="Y9" s="4"/>
      <c r="Z9" s="4"/>
    </row>
    <row r="10">
      <c r="A10" s="16" t="s">
        <v>97</v>
      </c>
      <c r="B10" s="17">
        <v>0.0</v>
      </c>
      <c r="C10" s="19">
        <v>1.0</v>
      </c>
      <c r="D10" s="19">
        <v>1.1</v>
      </c>
      <c r="E10" s="19">
        <v>1.0</v>
      </c>
      <c r="F10" s="19">
        <v>1.0</v>
      </c>
      <c r="G10" s="17">
        <v>0.0</v>
      </c>
      <c r="H10" s="13" t="s">
        <v>101</v>
      </c>
      <c r="I10" s="4"/>
      <c r="J10" s="4"/>
      <c r="K10" s="4"/>
      <c r="L10" s="4"/>
      <c r="M10" s="4"/>
      <c r="N10" s="4"/>
      <c r="O10" s="4"/>
      <c r="P10" s="4"/>
      <c r="Q10" s="4"/>
      <c r="R10" s="4"/>
      <c r="S10" s="4"/>
      <c r="T10" s="4"/>
      <c r="U10" s="4"/>
      <c r="V10" s="4"/>
      <c r="W10" s="4"/>
      <c r="X10" s="4"/>
      <c r="Y10" s="4"/>
      <c r="Z10" s="4"/>
    </row>
    <row r="11">
      <c r="A11" s="16" t="s">
        <v>104</v>
      </c>
      <c r="B11" s="17">
        <v>0.0</v>
      </c>
      <c r="C11" s="19">
        <v>1.0</v>
      </c>
      <c r="D11" s="19">
        <v>1.0</v>
      </c>
      <c r="E11" s="19">
        <v>1.15</v>
      </c>
      <c r="F11" s="19">
        <v>1.0</v>
      </c>
      <c r="G11" s="17">
        <v>0.0</v>
      </c>
      <c r="H11" s="13" t="s">
        <v>107</v>
      </c>
      <c r="I11" s="4"/>
      <c r="J11" s="4"/>
      <c r="K11" s="4"/>
      <c r="L11" s="4"/>
      <c r="M11" s="4"/>
      <c r="N11" s="4"/>
      <c r="O11" s="4"/>
      <c r="P11" s="4"/>
      <c r="Q11" s="4"/>
      <c r="R11" s="4"/>
      <c r="S11" s="4"/>
      <c r="T11" s="4"/>
      <c r="U11" s="4"/>
      <c r="V11" s="4"/>
      <c r="W11" s="4"/>
      <c r="X11" s="4"/>
      <c r="Y11" s="4"/>
      <c r="Z11" s="4"/>
    </row>
    <row r="12">
      <c r="A12" s="16" t="s">
        <v>112</v>
      </c>
      <c r="B12" s="17">
        <v>0.0</v>
      </c>
      <c r="C12" s="19">
        <v>1.0</v>
      </c>
      <c r="D12" s="19">
        <v>1.0</v>
      </c>
      <c r="E12" s="19">
        <v>1.0</v>
      </c>
      <c r="F12" s="19">
        <v>0.0</v>
      </c>
      <c r="G12" s="17">
        <v>0.0</v>
      </c>
      <c r="H12" s="13" t="s">
        <v>114</v>
      </c>
      <c r="I12" s="4"/>
      <c r="J12" s="4"/>
      <c r="K12" s="4"/>
      <c r="L12" s="4"/>
      <c r="M12" s="4"/>
      <c r="N12" s="4"/>
      <c r="O12" s="4"/>
      <c r="P12" s="4"/>
      <c r="Q12" s="4"/>
      <c r="R12" s="4"/>
      <c r="S12" s="4"/>
      <c r="T12" s="4"/>
      <c r="U12" s="4"/>
      <c r="V12" s="4"/>
      <c r="W12" s="4"/>
      <c r="X12" s="4"/>
      <c r="Y12" s="4"/>
      <c r="Z12" s="4"/>
    </row>
    <row r="13">
      <c r="A13" s="16" t="s">
        <v>118</v>
      </c>
      <c r="B13" s="17">
        <v>0.0</v>
      </c>
      <c r="C13" s="19">
        <v>1.0</v>
      </c>
      <c r="D13" s="19">
        <v>1.0</v>
      </c>
      <c r="E13" s="19">
        <v>1.0</v>
      </c>
      <c r="F13" s="19">
        <v>1.0</v>
      </c>
      <c r="G13" s="17">
        <v>-0.04</v>
      </c>
      <c r="H13" s="13" t="s">
        <v>120</v>
      </c>
      <c r="I13" s="4"/>
      <c r="J13" s="4"/>
      <c r="K13" s="4"/>
      <c r="L13" s="4"/>
      <c r="M13" s="4"/>
      <c r="N13" s="4"/>
      <c r="O13" s="4"/>
      <c r="P13" s="4"/>
      <c r="Q13" s="4"/>
      <c r="R13" s="4"/>
      <c r="S13" s="4"/>
      <c r="T13" s="4"/>
      <c r="U13" s="4"/>
      <c r="V13" s="4"/>
      <c r="W13" s="4"/>
      <c r="X13" s="4"/>
      <c r="Y13" s="4"/>
      <c r="Z13" s="4"/>
    </row>
    <row r="14">
      <c r="A14" s="16" t="s">
        <v>123</v>
      </c>
      <c r="B14" s="17">
        <v>0.1</v>
      </c>
      <c r="C14" s="19">
        <v>2.5</v>
      </c>
      <c r="D14" s="19">
        <v>1.0</v>
      </c>
      <c r="E14" s="19">
        <v>1.15</v>
      </c>
      <c r="F14" s="19">
        <v>1.0</v>
      </c>
      <c r="G14" s="17">
        <v>0.0</v>
      </c>
      <c r="H14" s="13" t="s">
        <v>125</v>
      </c>
      <c r="I14" s="4"/>
      <c r="J14" s="4"/>
      <c r="K14" s="4"/>
      <c r="L14" s="4"/>
      <c r="M14" s="4"/>
      <c r="N14" s="4"/>
      <c r="O14" s="4"/>
      <c r="P14" s="4"/>
      <c r="Q14" s="4"/>
      <c r="R14" s="4"/>
      <c r="S14" s="4"/>
      <c r="T14" s="4"/>
      <c r="U14" s="4"/>
      <c r="V14" s="4"/>
      <c r="W14" s="4"/>
      <c r="X14" s="4"/>
      <c r="Y14" s="4"/>
      <c r="Z14" s="4"/>
    </row>
    <row r="15">
      <c r="A15" s="16" t="s">
        <v>130</v>
      </c>
      <c r="B15" s="17">
        <v>0.0</v>
      </c>
      <c r="C15" s="19">
        <v>1.0</v>
      </c>
      <c r="D15" s="19">
        <v>0.9</v>
      </c>
      <c r="E15" s="19">
        <v>1.0</v>
      </c>
      <c r="F15" s="19">
        <v>0.0</v>
      </c>
      <c r="G15" s="17">
        <v>-0.04</v>
      </c>
      <c r="H15" s="13" t="s">
        <v>133</v>
      </c>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8.0"/>
    <col customWidth="1" min="2" max="8" width="13.0"/>
    <col customWidth="1" min="9" max="26" width="8.71"/>
  </cols>
  <sheetData>
    <row r="1">
      <c r="A1" s="2" t="s">
        <v>140</v>
      </c>
      <c r="B1" s="4"/>
      <c r="C1" s="4"/>
      <c r="D1" s="4"/>
      <c r="E1" s="4"/>
      <c r="F1" s="4"/>
      <c r="G1" s="4"/>
      <c r="H1" s="4"/>
      <c r="I1" s="4"/>
      <c r="J1" s="4"/>
      <c r="K1" s="4"/>
      <c r="L1" s="4"/>
      <c r="M1" s="4"/>
      <c r="N1" s="4"/>
      <c r="O1" s="4"/>
      <c r="P1" s="4"/>
      <c r="Q1" s="4"/>
      <c r="R1" s="4"/>
      <c r="S1" s="4"/>
      <c r="T1" s="4"/>
      <c r="U1" s="4"/>
      <c r="V1" s="4"/>
      <c r="W1" s="4"/>
      <c r="X1" s="4"/>
      <c r="Y1" s="4"/>
      <c r="Z1" s="4"/>
    </row>
    <row r="2">
      <c r="A2" s="3" t="s">
        <v>141</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6" t="s">
        <v>142</v>
      </c>
      <c r="B4" s="8"/>
      <c r="C4" s="8"/>
      <c r="D4" s="8"/>
      <c r="E4" s="8"/>
      <c r="F4" s="8"/>
      <c r="G4" s="8"/>
      <c r="H4" s="8"/>
      <c r="I4" s="4"/>
      <c r="J4" s="4"/>
      <c r="K4" s="4"/>
      <c r="L4" s="4"/>
      <c r="M4" s="4"/>
      <c r="N4" s="4"/>
      <c r="O4" s="4"/>
      <c r="P4" s="4"/>
      <c r="Q4" s="4"/>
      <c r="R4" s="4"/>
      <c r="S4" s="4"/>
      <c r="T4" s="4"/>
      <c r="U4" s="4"/>
      <c r="V4" s="4"/>
      <c r="W4" s="4"/>
      <c r="X4" s="4"/>
      <c r="Y4" s="4"/>
      <c r="Z4" s="4"/>
    </row>
    <row r="5">
      <c r="A5" s="10" t="s">
        <v>143</v>
      </c>
      <c r="B5" s="24">
        <f t="array" ref="B5">INDEX(Calc!$C$53:$AI$53,MATCH(Summary!$A$6&amp;"|"&amp;Inputs!$D$18,Calc!$C$6:$AI$6,0))</f>
        <v>3.139034168</v>
      </c>
      <c r="C5" s="4"/>
      <c r="D5" s="4"/>
      <c r="E5" s="4"/>
      <c r="F5" s="4"/>
      <c r="G5" s="4"/>
      <c r="H5" s="4"/>
      <c r="I5" s="4"/>
      <c r="J5" s="4"/>
      <c r="K5" s="4"/>
      <c r="L5" s="4"/>
      <c r="M5" s="4"/>
      <c r="N5" s="4"/>
      <c r="O5" s="4"/>
      <c r="P5" s="4"/>
      <c r="Q5" s="4"/>
      <c r="R5" s="4"/>
      <c r="S5" s="4"/>
      <c r="T5" s="4"/>
      <c r="U5" s="4"/>
      <c r="V5" s="4"/>
      <c r="W5" s="4"/>
      <c r="X5" s="4"/>
      <c r="Y5" s="4"/>
      <c r="Z5" s="4"/>
    </row>
    <row r="6">
      <c r="A6" s="10" t="s">
        <v>144</v>
      </c>
      <c r="B6" s="24">
        <f t="array" ref="B6">INDEX(Calc!$C$57:$AI$57,MATCH(Summary!$A$6&amp;"|"&amp;Inputs!$D$18,Calc!$C$6:$AI$6,0))</f>
        <v>0.009417102503</v>
      </c>
      <c r="C6" s="4"/>
      <c r="D6" s="4"/>
      <c r="E6" s="4"/>
      <c r="F6" s="4"/>
      <c r="G6" s="4"/>
      <c r="H6" s="4"/>
      <c r="I6" s="4"/>
      <c r="J6" s="4"/>
      <c r="K6" s="4"/>
      <c r="L6" s="4"/>
      <c r="M6" s="4"/>
      <c r="N6" s="4"/>
      <c r="O6" s="4"/>
      <c r="P6" s="4"/>
      <c r="Q6" s="4"/>
      <c r="R6" s="4"/>
      <c r="S6" s="4"/>
      <c r="T6" s="4"/>
      <c r="U6" s="4"/>
      <c r="V6" s="4"/>
      <c r="W6" s="4"/>
      <c r="X6" s="4"/>
      <c r="Y6" s="4"/>
      <c r="Z6" s="4"/>
    </row>
    <row r="7">
      <c r="A7" s="10" t="s">
        <v>145</v>
      </c>
      <c r="B7" s="24">
        <f t="array" ref="B7">INDEX(Calc!$C$56:$AI$56,MATCH(Summary!$A$6&amp;"|"&amp;Inputs!$D$18,Calc!$C$6:$AI$6,0))</f>
        <v>0.1365</v>
      </c>
      <c r="C7" s="4"/>
      <c r="D7" s="4"/>
      <c r="E7" s="4"/>
      <c r="F7" s="4"/>
      <c r="G7" s="4"/>
      <c r="H7" s="4"/>
      <c r="I7" s="4"/>
      <c r="J7" s="4"/>
      <c r="K7" s="4"/>
      <c r="L7" s="4"/>
      <c r="M7" s="4"/>
      <c r="N7" s="4"/>
      <c r="O7" s="4"/>
      <c r="P7" s="4"/>
      <c r="Q7" s="4"/>
      <c r="R7" s="4"/>
      <c r="S7" s="4"/>
      <c r="T7" s="4"/>
      <c r="U7" s="4"/>
      <c r="V7" s="4"/>
      <c r="W7" s="4"/>
      <c r="X7" s="4"/>
      <c r="Y7" s="4"/>
      <c r="Z7" s="4"/>
    </row>
    <row r="8">
      <c r="A8" s="10" t="s">
        <v>146</v>
      </c>
      <c r="B8" s="24">
        <f t="array" ref="B8">INDEX(Calc!$C$64:$AI$64,MATCH(Summary!$A$6&amp;"|"&amp;Inputs!$D$18,Calc!$C$6:$AI$6,0))</f>
        <v>0.0035</v>
      </c>
      <c r="C8" s="4"/>
      <c r="D8" s="4"/>
      <c r="E8" s="4"/>
      <c r="F8" s="4"/>
      <c r="G8" s="4"/>
      <c r="H8" s="4"/>
      <c r="I8" s="4"/>
      <c r="J8" s="4"/>
      <c r="K8" s="4"/>
      <c r="L8" s="4"/>
      <c r="M8" s="4"/>
      <c r="N8" s="4"/>
      <c r="O8" s="4"/>
      <c r="P8" s="4"/>
      <c r="Q8" s="4"/>
      <c r="R8" s="4"/>
      <c r="S8" s="4"/>
      <c r="T8" s="4"/>
      <c r="U8" s="4"/>
      <c r="V8" s="4"/>
      <c r="W8" s="4"/>
      <c r="X8" s="4"/>
      <c r="Y8" s="4"/>
      <c r="Z8" s="4"/>
    </row>
    <row r="9">
      <c r="A9" s="10" t="s">
        <v>147</v>
      </c>
      <c r="B9" s="24">
        <f t="array" ref="B9">INDEX(Calc!$C$65:$AI$65,MATCH(Summary!$A$6&amp;"|"&amp;Inputs!$D$18,Calc!$C$6:$AI$6,0))</f>
        <v>0.01427615539</v>
      </c>
      <c r="C9" s="4"/>
      <c r="D9" s="4"/>
      <c r="E9" s="4"/>
      <c r="F9" s="4"/>
      <c r="G9" s="4"/>
      <c r="H9" s="4"/>
      <c r="I9" s="4"/>
      <c r="J9" s="4"/>
      <c r="K9" s="4"/>
      <c r="L9" s="4"/>
      <c r="M9" s="4"/>
      <c r="N9" s="4"/>
      <c r="O9" s="4"/>
      <c r="P9" s="4"/>
      <c r="Q9" s="4"/>
      <c r="R9" s="4"/>
      <c r="S9" s="4"/>
      <c r="T9" s="4"/>
      <c r="U9" s="4"/>
      <c r="V9" s="4"/>
      <c r="W9" s="4"/>
      <c r="X9" s="4"/>
      <c r="Y9" s="4"/>
      <c r="Z9" s="4"/>
    </row>
    <row r="10">
      <c r="A10" s="10" t="s">
        <v>52</v>
      </c>
      <c r="B10" s="25">
        <f>Inputs!$B$14</f>
        <v>0.1</v>
      </c>
      <c r="C10" s="4"/>
      <c r="D10" s="4"/>
      <c r="E10" s="4"/>
      <c r="F10" s="4"/>
      <c r="G10" s="4"/>
      <c r="H10" s="4"/>
      <c r="I10" s="4"/>
      <c r="J10" s="4"/>
      <c r="K10" s="4"/>
      <c r="L10" s="4"/>
      <c r="M10" s="4"/>
      <c r="N10" s="4"/>
      <c r="O10" s="4"/>
      <c r="P10" s="4"/>
      <c r="Q10" s="4"/>
      <c r="R10" s="4"/>
      <c r="S10" s="4"/>
      <c r="T10" s="4"/>
      <c r="U10" s="4"/>
      <c r="V10" s="4"/>
      <c r="W10" s="4"/>
      <c r="X10" s="4"/>
      <c r="Y10" s="4"/>
      <c r="Z10" s="4"/>
    </row>
    <row r="11">
      <c r="A11" s="10" t="s">
        <v>148</v>
      </c>
      <c r="B11" s="25">
        <f t="array" ref="B11">INDEX(Calc!$C$32:$AI$32,MATCH(Summary!$A$6&amp;"|"&amp;Inputs!$D$18,Calc!$C$6:$AI$6,0))</f>
        <v>0</v>
      </c>
      <c r="C11" s="4"/>
      <c r="D11" s="4"/>
      <c r="E11" s="4"/>
      <c r="F11" s="4"/>
      <c r="G11" s="4"/>
      <c r="H11" s="4"/>
      <c r="I11" s="4"/>
      <c r="J11" s="4"/>
      <c r="K11" s="4"/>
      <c r="L11" s="4"/>
      <c r="M11" s="4"/>
      <c r="N11" s="4"/>
      <c r="O11" s="4"/>
      <c r="P11" s="4"/>
      <c r="Q11" s="4"/>
      <c r="R11" s="4"/>
      <c r="S11" s="4"/>
      <c r="T11" s="4"/>
      <c r="U11" s="4"/>
      <c r="V11" s="4"/>
      <c r="W11" s="4"/>
      <c r="X11" s="4"/>
      <c r="Y11" s="4"/>
      <c r="Z11" s="4"/>
    </row>
    <row r="12">
      <c r="A12" s="10" t="s">
        <v>149</v>
      </c>
      <c r="B12" s="26">
        <f t="array" ref="B12">INDEX(Calc!$C$33:$AI$33,MATCH(Summary!$A$6&amp;"|"&amp;Inputs!$D$18,Calc!$C$6:$AI$6,0))</f>
        <v>0.004</v>
      </c>
      <c r="C12" s="4"/>
      <c r="D12" s="4"/>
      <c r="E12" s="4"/>
      <c r="F12" s="4"/>
      <c r="G12" s="4"/>
      <c r="H12" s="4"/>
      <c r="I12" s="4"/>
      <c r="J12" s="4"/>
      <c r="K12" s="4"/>
      <c r="L12" s="4"/>
      <c r="M12" s="4"/>
      <c r="N12" s="4"/>
      <c r="O12" s="4"/>
      <c r="P12" s="4"/>
      <c r="Q12" s="4"/>
      <c r="R12" s="4"/>
      <c r="S12" s="4"/>
      <c r="T12" s="4"/>
      <c r="U12" s="4"/>
      <c r="V12" s="4"/>
      <c r="W12" s="4"/>
      <c r="X12" s="4"/>
      <c r="Y12" s="4"/>
      <c r="Z12" s="4"/>
    </row>
    <row r="13">
      <c r="A13" s="10" t="s">
        <v>150</v>
      </c>
      <c r="B13" s="25">
        <f t="array" ref="B13">INDEX(Calc!$C$59:$AI$59,MATCH(Summary!$A$6&amp;"|"&amp;Inputs!$D$18,Calc!$C$6:$AI$6,0))</f>
        <v>0.1</v>
      </c>
      <c r="C13" s="4"/>
      <c r="D13" s="4"/>
      <c r="E13" s="4"/>
      <c r="F13" s="4"/>
      <c r="G13" s="4"/>
      <c r="H13" s="4"/>
      <c r="I13" s="4"/>
      <c r="J13" s="4"/>
      <c r="K13" s="4"/>
      <c r="L13" s="4"/>
      <c r="M13" s="4"/>
      <c r="N13" s="4"/>
      <c r="O13" s="4"/>
      <c r="P13" s="4"/>
      <c r="Q13" s="4"/>
      <c r="R13" s="4"/>
      <c r="S13" s="4"/>
      <c r="T13" s="4"/>
      <c r="U13" s="4"/>
      <c r="V13" s="4"/>
      <c r="W13" s="4"/>
      <c r="X13" s="4"/>
      <c r="Y13" s="4"/>
      <c r="Z13" s="4"/>
    </row>
    <row r="14">
      <c r="A14" s="10" t="s">
        <v>151</v>
      </c>
      <c r="B14" s="24">
        <f t="array" ref="B14">INDEX(Calc!$C$66:$AI$66,MATCH(Summary!$A$6&amp;"|"&amp;Inputs!$C$18,Calc!$C$6:$AI$6,0))</f>
        <v>4.030000623</v>
      </c>
      <c r="C14" s="4"/>
      <c r="D14" s="4"/>
      <c r="E14" s="4"/>
      <c r="F14" s="4"/>
      <c r="G14" s="4"/>
      <c r="H14" s="4"/>
      <c r="I14" s="4"/>
      <c r="J14" s="4"/>
      <c r="K14" s="4"/>
      <c r="L14" s="4"/>
      <c r="M14" s="4"/>
      <c r="N14" s="4"/>
      <c r="O14" s="4"/>
      <c r="P14" s="4"/>
      <c r="Q14" s="4"/>
      <c r="R14" s="4"/>
      <c r="S14" s="4"/>
      <c r="T14" s="4"/>
      <c r="U14" s="4"/>
      <c r="V14" s="4"/>
      <c r="W14" s="4"/>
      <c r="X14" s="4"/>
      <c r="Y14" s="4"/>
      <c r="Z14" s="4"/>
    </row>
    <row r="15">
      <c r="A15" s="10" t="s">
        <v>152</v>
      </c>
      <c r="B15" s="24">
        <f t="array" ref="B15">INDEX(Calc!$C$66:$AI$66,MATCH(Summary!$A$6&amp;"|"&amp;Inputs!$D$18,Calc!$C$6:$AI$6,0))</f>
        <v>3.67721187</v>
      </c>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6" t="s">
        <v>154</v>
      </c>
      <c r="B17" s="8"/>
      <c r="C17" s="8"/>
      <c r="D17" s="8"/>
      <c r="E17" s="8"/>
      <c r="F17" s="8"/>
      <c r="G17" s="8"/>
      <c r="H17" s="8"/>
      <c r="I17" s="4"/>
      <c r="J17" s="4"/>
      <c r="K17" s="4"/>
      <c r="L17" s="4"/>
      <c r="M17" s="4"/>
      <c r="N17" s="4"/>
      <c r="O17" s="4"/>
      <c r="P17" s="4"/>
      <c r="Q17" s="4"/>
      <c r="R17" s="4"/>
      <c r="S17" s="4"/>
      <c r="T17" s="4"/>
      <c r="U17" s="4"/>
      <c r="V17" s="4"/>
      <c r="W17" s="4"/>
      <c r="X17" s="4"/>
      <c r="Y17" s="4"/>
      <c r="Z17" s="4"/>
    </row>
    <row r="18">
      <c r="A18" s="27" t="s">
        <v>156</v>
      </c>
      <c r="B18" s="28">
        <v>1.0</v>
      </c>
      <c r="C18" s="28">
        <v>1.5</v>
      </c>
      <c r="D18" s="28">
        <v>2.0</v>
      </c>
      <c r="E18" s="28">
        <v>2.5</v>
      </c>
      <c r="F18" s="28">
        <v>3.0</v>
      </c>
      <c r="G18" s="28">
        <v>4.0</v>
      </c>
      <c r="H18" s="4"/>
      <c r="I18" s="4"/>
      <c r="J18" s="4"/>
      <c r="K18" s="4"/>
      <c r="L18" s="4"/>
      <c r="M18" s="4"/>
      <c r="N18" s="4"/>
      <c r="O18" s="4"/>
      <c r="P18" s="4"/>
      <c r="Q18" s="4"/>
      <c r="R18" s="4"/>
      <c r="S18" s="4"/>
      <c r="T18" s="4"/>
      <c r="U18" s="4"/>
      <c r="V18" s="4"/>
      <c r="W18" s="4"/>
      <c r="X18" s="4"/>
      <c r="Y18" s="4"/>
      <c r="Z18" s="4"/>
    </row>
    <row r="19">
      <c r="A19" s="29">
        <v>0.0</v>
      </c>
      <c r="B19" s="31">
        <f t="shared" ref="B19:G19" si="1">(($B$5+$B$6+B$18*$B$7)*(1+((1+$B$10)*$A19+$B$11+$B$12))+$B$8+$B$9)-$B$14</f>
        <v>-0.7141333924</v>
      </c>
      <c r="C19" s="31">
        <f t="shared" si="1"/>
        <v>-0.6456103924</v>
      </c>
      <c r="D19" s="31">
        <f t="shared" si="1"/>
        <v>-0.5770873924</v>
      </c>
      <c r="E19" s="31">
        <f t="shared" si="1"/>
        <v>-0.5085643924</v>
      </c>
      <c r="F19" s="31">
        <f t="shared" si="1"/>
        <v>-0.4400413924</v>
      </c>
      <c r="G19" s="31">
        <f t="shared" si="1"/>
        <v>-0.3029953924</v>
      </c>
      <c r="H19" s="4"/>
      <c r="I19" s="4"/>
      <c r="J19" s="4"/>
      <c r="K19" s="4"/>
      <c r="L19" s="4"/>
      <c r="M19" s="4"/>
      <c r="N19" s="4"/>
      <c r="O19" s="4"/>
      <c r="P19" s="4"/>
      <c r="Q19" s="4"/>
      <c r="R19" s="4"/>
      <c r="S19" s="4"/>
      <c r="T19" s="4"/>
      <c r="U19" s="4"/>
      <c r="V19" s="4"/>
      <c r="W19" s="4"/>
      <c r="X19" s="4"/>
      <c r="Y19" s="4"/>
      <c r="Z19" s="4"/>
    </row>
    <row r="20">
      <c r="A20" s="29">
        <v>0.05</v>
      </c>
      <c r="B20" s="31">
        <f t="shared" ref="B20:G20" si="2">(($B$5+$B$6+B$18*$B$7)*(1+((1+$B$10)*$A20+$B$11+$B$12))+$B$8+$B$9)-$B$14</f>
        <v>-0.5334610725</v>
      </c>
      <c r="C20" s="31">
        <f t="shared" si="2"/>
        <v>-0.4611843225</v>
      </c>
      <c r="D20" s="31">
        <f t="shared" si="2"/>
        <v>-0.3889075725</v>
      </c>
      <c r="E20" s="31">
        <f t="shared" si="2"/>
        <v>-0.3166308225</v>
      </c>
      <c r="F20" s="31">
        <f t="shared" si="2"/>
        <v>-0.2443540725</v>
      </c>
      <c r="G20" s="31">
        <f t="shared" si="2"/>
        <v>-0.09980057253</v>
      </c>
      <c r="H20" s="4"/>
      <c r="I20" s="4"/>
      <c r="J20" s="4"/>
      <c r="K20" s="4"/>
      <c r="L20" s="4"/>
      <c r="M20" s="4"/>
      <c r="N20" s="4"/>
      <c r="O20" s="4"/>
      <c r="P20" s="4"/>
      <c r="Q20" s="4"/>
      <c r="R20" s="4"/>
      <c r="S20" s="4"/>
      <c r="T20" s="4"/>
      <c r="U20" s="4"/>
      <c r="V20" s="4"/>
      <c r="W20" s="4"/>
      <c r="X20" s="4"/>
      <c r="Y20" s="4"/>
      <c r="Z20" s="4"/>
    </row>
    <row r="21" ht="15.75" customHeight="1">
      <c r="A21" s="29">
        <v>0.1</v>
      </c>
      <c r="B21" s="31">
        <f t="shared" ref="B21:G21" si="3">(($B$5+$B$6+B$18*$B$7)*(1+((1+$B$10)*$A21+$B$11+$B$12))+$B$8+$B$9)-$B$14</f>
        <v>-0.3527887527</v>
      </c>
      <c r="C21" s="31">
        <f t="shared" si="3"/>
        <v>-0.2767582527</v>
      </c>
      <c r="D21" s="31">
        <f t="shared" si="3"/>
        <v>-0.2007277527</v>
      </c>
      <c r="E21" s="31">
        <f t="shared" si="3"/>
        <v>-0.1246972527</v>
      </c>
      <c r="F21" s="31">
        <f t="shared" si="3"/>
        <v>-0.04866675267</v>
      </c>
      <c r="G21" s="31">
        <f t="shared" si="3"/>
        <v>0.1033942473</v>
      </c>
      <c r="H21" s="4"/>
      <c r="I21" s="4"/>
      <c r="J21" s="4"/>
      <c r="K21" s="4"/>
      <c r="L21" s="4"/>
      <c r="M21" s="4"/>
      <c r="N21" s="4"/>
      <c r="O21" s="4"/>
      <c r="P21" s="4"/>
      <c r="Q21" s="4"/>
      <c r="R21" s="4"/>
      <c r="S21" s="4"/>
      <c r="T21" s="4"/>
      <c r="U21" s="4"/>
      <c r="V21" s="4"/>
      <c r="W21" s="4"/>
      <c r="X21" s="4"/>
      <c r="Y21" s="4"/>
      <c r="Z21" s="4"/>
    </row>
    <row r="22" ht="15.75" customHeight="1">
      <c r="A22" s="29">
        <v>0.15</v>
      </c>
      <c r="B22" s="31">
        <f t="shared" ref="B22:G22" si="4">(($B$5+$B$6+B$18*$B$7)*(1+((1+$B$10)*$A22+$B$11+$B$12))+$B$8+$B$9)-$B$14</f>
        <v>-0.1721164328</v>
      </c>
      <c r="C22" s="31">
        <f t="shared" si="4"/>
        <v>-0.09233218281</v>
      </c>
      <c r="D22" s="31">
        <f t="shared" si="4"/>
        <v>-0.01254793281</v>
      </c>
      <c r="E22" s="31">
        <f t="shared" si="4"/>
        <v>0.06723631719</v>
      </c>
      <c r="F22" s="31">
        <f t="shared" si="4"/>
        <v>0.1470205672</v>
      </c>
      <c r="G22" s="31">
        <f t="shared" si="4"/>
        <v>0.3065890672</v>
      </c>
      <c r="H22" s="4"/>
      <c r="I22" s="4"/>
      <c r="J22" s="4"/>
      <c r="K22" s="4"/>
      <c r="L22" s="4"/>
      <c r="M22" s="4"/>
      <c r="N22" s="4"/>
      <c r="O22" s="4"/>
      <c r="P22" s="4"/>
      <c r="Q22" s="4"/>
      <c r="R22" s="4"/>
      <c r="S22" s="4"/>
      <c r="T22" s="4"/>
      <c r="U22" s="4"/>
      <c r="V22" s="4"/>
      <c r="W22" s="4"/>
      <c r="X22" s="4"/>
      <c r="Y22" s="4"/>
      <c r="Z22" s="4"/>
    </row>
    <row r="23" ht="15.75" customHeight="1">
      <c r="A23" s="29">
        <v>0.2</v>
      </c>
      <c r="B23" s="31">
        <f t="shared" ref="B23:G23" si="5">(($B$5+$B$6+B$18*$B$7)*(1+((1+$B$10)*$A23+$B$11+$B$12))+$B$8+$B$9)-$B$14</f>
        <v>0.008555887056</v>
      </c>
      <c r="C23" s="31">
        <f t="shared" si="5"/>
        <v>0.09209388706</v>
      </c>
      <c r="D23" s="31">
        <f t="shared" si="5"/>
        <v>0.1756318871</v>
      </c>
      <c r="E23" s="31">
        <f t="shared" si="5"/>
        <v>0.2591698871</v>
      </c>
      <c r="F23" s="31">
        <f t="shared" si="5"/>
        <v>0.3427078871</v>
      </c>
      <c r="G23" s="31">
        <f t="shared" si="5"/>
        <v>0.5097838871</v>
      </c>
      <c r="H23" s="4"/>
      <c r="I23" s="4"/>
      <c r="J23" s="4"/>
      <c r="K23" s="4"/>
      <c r="L23" s="4"/>
      <c r="M23" s="4"/>
      <c r="N23" s="4"/>
      <c r="O23" s="4"/>
      <c r="P23" s="4"/>
      <c r="Q23" s="4"/>
      <c r="R23" s="4"/>
      <c r="S23" s="4"/>
      <c r="T23" s="4"/>
      <c r="U23" s="4"/>
      <c r="V23" s="4"/>
      <c r="W23" s="4"/>
      <c r="X23" s="4"/>
      <c r="Y23" s="4"/>
      <c r="Z23" s="4"/>
    </row>
    <row r="24" ht="15.75" customHeight="1">
      <c r="A24" s="29">
        <v>0.25</v>
      </c>
      <c r="B24" s="31">
        <f t="shared" ref="B24:G24" si="6">(($B$5+$B$6+B$18*$B$7)*(1+((1+$B$10)*$A24+$B$11+$B$12))+$B$8+$B$9)-$B$14</f>
        <v>0.1892282069</v>
      </c>
      <c r="C24" s="31">
        <f t="shared" si="6"/>
        <v>0.2765199569</v>
      </c>
      <c r="D24" s="31">
        <f t="shared" si="6"/>
        <v>0.3638117069</v>
      </c>
      <c r="E24" s="31">
        <f t="shared" si="6"/>
        <v>0.4511034569</v>
      </c>
      <c r="F24" s="31">
        <f t="shared" si="6"/>
        <v>0.5383952069</v>
      </c>
      <c r="G24" s="31">
        <f t="shared" si="6"/>
        <v>0.7129787069</v>
      </c>
      <c r="H24" s="4"/>
      <c r="I24" s="4"/>
      <c r="J24" s="4"/>
      <c r="K24" s="4"/>
      <c r="L24" s="4"/>
      <c r="M24" s="4"/>
      <c r="N24" s="4"/>
      <c r="O24" s="4"/>
      <c r="P24" s="4"/>
      <c r="Q24" s="4"/>
      <c r="R24" s="4"/>
      <c r="S24" s="4"/>
      <c r="T24" s="4"/>
      <c r="U24" s="4"/>
      <c r="V24" s="4"/>
      <c r="W24" s="4"/>
      <c r="X24" s="4"/>
      <c r="Y24" s="4"/>
      <c r="Z24" s="4"/>
    </row>
    <row r="25" ht="15.75" customHeight="1">
      <c r="A25" s="29">
        <v>0.3</v>
      </c>
      <c r="B25" s="31">
        <f t="shared" ref="B25:G25" si="7">(($B$5+$B$6+B$18*$B$7)*(1+((1+$B$10)*$A25+$B$11+$B$12))+$B$8+$B$9)-$B$14</f>
        <v>0.3699005268</v>
      </c>
      <c r="C25" s="31">
        <f t="shared" si="7"/>
        <v>0.4609460268</v>
      </c>
      <c r="D25" s="31">
        <f t="shared" si="7"/>
        <v>0.5519915268</v>
      </c>
      <c r="E25" s="31">
        <f t="shared" si="7"/>
        <v>0.6430370268</v>
      </c>
      <c r="F25" s="31">
        <f t="shared" si="7"/>
        <v>0.7340825268</v>
      </c>
      <c r="G25" s="31">
        <f t="shared" si="7"/>
        <v>0.9161735268</v>
      </c>
      <c r="H25" s="4"/>
      <c r="I25" s="4"/>
      <c r="J25" s="4"/>
      <c r="K25" s="4"/>
      <c r="L25" s="4"/>
      <c r="M25" s="4"/>
      <c r="N25" s="4"/>
      <c r="O25" s="4"/>
      <c r="P25" s="4"/>
      <c r="Q25" s="4"/>
      <c r="R25" s="4"/>
      <c r="S25" s="4"/>
      <c r="T25" s="4"/>
      <c r="U25" s="4"/>
      <c r="V25" s="4"/>
      <c r="W25" s="4"/>
      <c r="X25" s="4"/>
      <c r="Y25" s="4"/>
      <c r="Z25" s="4"/>
    </row>
    <row r="26" ht="15.75" customHeight="1">
      <c r="A26" s="35" t="s">
        <v>163</v>
      </c>
      <c r="B26" s="36">
        <f>(((B14-B8-B9)/(B5+B6+B7)-1)-B11-B12)/(1+B10)</f>
        <v>0.1976322087</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35" t="s">
        <v>164</v>
      </c>
      <c r="B27" s="37">
        <f>((B14-B8-B9)/(1+((1+B10)*B13+B11+B12))-(B5+B6))/B7</f>
        <v>3.320047564</v>
      </c>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3" t="s">
        <v>165</v>
      </c>
      <c r="B28" s="38">
        <f>ROUND((($B$5+$B$6+1*$B$7)*(1+((1+$B$10)*$B$13+$B$11+$B$12))+$B$8+$B$9)-$B$15,6)</f>
        <v>0</v>
      </c>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6" t="s">
        <v>166</v>
      </c>
      <c r="B30" s="8"/>
      <c r="C30" s="8"/>
      <c r="D30" s="8"/>
      <c r="E30" s="8"/>
      <c r="F30" s="8"/>
      <c r="G30" s="8"/>
      <c r="H30" s="8"/>
      <c r="I30" s="4"/>
      <c r="J30" s="4"/>
      <c r="K30" s="4"/>
      <c r="L30" s="4"/>
      <c r="M30" s="4"/>
      <c r="N30" s="4"/>
      <c r="O30" s="4"/>
      <c r="P30" s="4"/>
      <c r="Q30" s="4"/>
      <c r="R30" s="4"/>
      <c r="S30" s="4"/>
      <c r="T30" s="4"/>
      <c r="U30" s="4"/>
      <c r="V30" s="4"/>
      <c r="W30" s="4"/>
      <c r="X30" s="4"/>
      <c r="Y30" s="4"/>
      <c r="Z30" s="4"/>
    </row>
    <row r="31" ht="15.75" customHeight="1">
      <c r="A31" s="27" t="s">
        <v>167</v>
      </c>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10" t="s">
        <v>168</v>
      </c>
      <c r="B32" s="24">
        <f t="array" ref="B32">INDEX(Calc!$C$41:$AI$41,MATCH(Summary!$A$6&amp;"|"&amp;Inputs!$C$18,Calc!$C$6:$AI$6,0))+INDEX(Calc!$C$45:$AI$45,MATCH(Summary!$A$6&amp;"|"&amp;Inputs!$C$18,Calc!$C$6:$AI$6,0))</f>
        <v>2.9734072</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10" t="s">
        <v>169</v>
      </c>
      <c r="B33" s="24">
        <f t="array" ref="B33">INDEX(Calc!$C$48:$AI$48,MATCH(Summary!$A$6&amp;"|"&amp;Inputs!$C$18,Calc!$C$6:$AI$6,0))</f>
        <v>0.36</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10" t="s">
        <v>170</v>
      </c>
      <c r="B34" s="25">
        <f t="array" ref="B34">INDEX(Calc!$C$24:$AI$24,MATCH(Summary!$A$6&amp;"|"&amp;Inputs!$C$18,Calc!$C$6:$AI$6,0))</f>
        <v>0.09</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10" t="s">
        <v>171</v>
      </c>
      <c r="B35" s="25">
        <f t="array" ref="B35">INDEX(Calc!$C$35:$AI$35,MATCH(Summary!$A$6&amp;"|"&amp;Inputs!$C$18,Calc!$C$6:$AI$6,0))</f>
        <v>0.07</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10" t="s">
        <v>172</v>
      </c>
      <c r="B36" s="39">
        <f t="array" ref="B36">INDEX(Calc!$C$30:$AI$30,MATCH(Summary!$A$6&amp;"|"&amp;Inputs!$C$18,Calc!$C$6:$AI$6,0))+Inputs!$B$11*(INDEX(Calc!$C$27:$AI$27,MATCH(Summary!$A$6&amp;"|"&amp;Inputs!$C$18,Calc!$C$6:$AI$6,0))*INDEX(Calc!$C$29:$AI$29,MATCH(Summary!$A$6&amp;"|"&amp;Inputs!$C$18,Calc!$C$6:$AI$6,0))+(1-INDEX(Calc!$C$27:$AI$27,MATCH(Summary!$A$6&amp;"|"&amp;Inputs!$C$18,Calc!$C$6:$AI$6,0)))*INDEX(Calc!$C$28:$AI$28,MATCH(Summary!$A$6&amp;"|"&amp;Inputs!$C$18,Calc!$C$6:$AI$6,0)))/365</f>
        <v>0.001547945205</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10" t="s">
        <v>173</v>
      </c>
      <c r="B37" s="24">
        <f t="array" ref="B37">INDEX(Calc!$C$56:$AI$56,MATCH(Summary!$A$6&amp;"|"&amp;Inputs!$C$18,Calc!$C$6:$AI$6,0))</f>
        <v>0.0084</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27" t="s">
        <v>174</v>
      </c>
      <c r="B39" s="40">
        <v>0.0</v>
      </c>
      <c r="C39" s="40">
        <v>0.25</v>
      </c>
      <c r="D39" s="40">
        <v>0.5</v>
      </c>
      <c r="E39" s="40">
        <v>0.75</v>
      </c>
      <c r="F39" s="40">
        <v>1.0</v>
      </c>
      <c r="G39" s="4"/>
      <c r="H39" s="4"/>
      <c r="I39" s="4"/>
      <c r="J39" s="4"/>
      <c r="K39" s="4"/>
      <c r="L39" s="4"/>
      <c r="M39" s="4"/>
      <c r="N39" s="4"/>
      <c r="O39" s="4"/>
      <c r="P39" s="4"/>
      <c r="Q39" s="4"/>
      <c r="R39" s="4"/>
      <c r="S39" s="4"/>
      <c r="T39" s="4"/>
      <c r="U39" s="4"/>
      <c r="V39" s="4"/>
      <c r="W39" s="4"/>
      <c r="X39" s="4"/>
      <c r="Y39" s="4"/>
      <c r="Z39" s="4"/>
    </row>
    <row r="40" ht="15.75" customHeight="1">
      <c r="A40" s="29">
        <v>0.8</v>
      </c>
      <c r="B40" s="31">
        <f t="shared" ref="B40:F40" si="8">$B$15-((($B$32/$A40+$B$33)*(1+$B$34))*(1-$B$35*MIN(1,B$39))*(1+$B$36)+$B$37)</f>
        <v>-0.7817339931</v>
      </c>
      <c r="C40" s="31">
        <f t="shared" si="8"/>
        <v>-0.7038494404</v>
      </c>
      <c r="D40" s="31">
        <f t="shared" si="8"/>
        <v>-0.6259648878</v>
      </c>
      <c r="E40" s="31">
        <f t="shared" si="8"/>
        <v>-0.5480803352</v>
      </c>
      <c r="F40" s="31">
        <f t="shared" si="8"/>
        <v>-0.4701957826</v>
      </c>
      <c r="G40" s="4"/>
      <c r="H40" s="4"/>
      <c r="I40" s="4"/>
      <c r="J40" s="4"/>
      <c r="K40" s="4"/>
      <c r="L40" s="4"/>
      <c r="M40" s="4"/>
      <c r="N40" s="4"/>
      <c r="O40" s="4"/>
      <c r="P40" s="4"/>
      <c r="Q40" s="4"/>
      <c r="R40" s="4"/>
      <c r="S40" s="4"/>
      <c r="T40" s="4"/>
      <c r="U40" s="4"/>
      <c r="V40" s="4"/>
      <c r="W40" s="4"/>
      <c r="X40" s="4"/>
      <c r="Y40" s="4"/>
      <c r="Z40" s="4"/>
    </row>
    <row r="41" ht="15.75" customHeight="1">
      <c r="A41" s="29">
        <v>0.83</v>
      </c>
      <c r="B41" s="31">
        <f t="shared" ref="B41:F41" si="9">$B$15-((($B$32/$A41+$B$33)*(1+$B$34))*(1-$B$35*MIN(1,B$39))*(1+$B$36)+$B$37)</f>
        <v>-0.6350759768</v>
      </c>
      <c r="C41" s="31">
        <f t="shared" si="9"/>
        <v>-0.5597579395</v>
      </c>
      <c r="D41" s="31">
        <f t="shared" si="9"/>
        <v>-0.4844399021</v>
      </c>
      <c r="E41" s="31">
        <f t="shared" si="9"/>
        <v>-0.4091218648</v>
      </c>
      <c r="F41" s="31">
        <f t="shared" si="9"/>
        <v>-0.3338038275</v>
      </c>
      <c r="G41" s="4"/>
      <c r="H41" s="4"/>
      <c r="I41" s="4"/>
      <c r="J41" s="4"/>
      <c r="K41" s="4"/>
      <c r="L41" s="4"/>
      <c r="M41" s="4"/>
      <c r="N41" s="4"/>
      <c r="O41" s="4"/>
      <c r="P41" s="4"/>
      <c r="Q41" s="4"/>
      <c r="R41" s="4"/>
      <c r="S41" s="4"/>
      <c r="T41" s="4"/>
      <c r="U41" s="4"/>
      <c r="V41" s="4"/>
      <c r="W41" s="4"/>
      <c r="X41" s="4"/>
      <c r="Y41" s="4"/>
      <c r="Z41" s="4"/>
    </row>
    <row r="42" ht="15.75" customHeight="1">
      <c r="A42" s="29">
        <v>0.86</v>
      </c>
      <c r="B42" s="31">
        <f t="shared" ref="B42:F42" si="10">$B$15-((($B$32/$A42+$B$33)*(1+$B$34))*(1-$B$35*MIN(1,B$39))*(1+$B$36)+$B$37)</f>
        <v>-0.4986499152</v>
      </c>
      <c r="C42" s="31">
        <f t="shared" si="10"/>
        <v>-0.4257193339</v>
      </c>
      <c r="D42" s="31">
        <f t="shared" si="10"/>
        <v>-0.3527887527</v>
      </c>
      <c r="E42" s="31">
        <f t="shared" si="10"/>
        <v>-0.2798581714</v>
      </c>
      <c r="F42" s="31">
        <f t="shared" si="10"/>
        <v>-0.2069275902</v>
      </c>
      <c r="G42" s="4"/>
      <c r="H42" s="4"/>
      <c r="I42" s="4"/>
      <c r="J42" s="4"/>
      <c r="K42" s="4"/>
      <c r="L42" s="4"/>
      <c r="M42" s="4"/>
      <c r="N42" s="4"/>
      <c r="O42" s="4"/>
      <c r="P42" s="4"/>
      <c r="Q42" s="4"/>
      <c r="R42" s="4"/>
      <c r="S42" s="4"/>
      <c r="T42" s="4"/>
      <c r="U42" s="4"/>
      <c r="V42" s="4"/>
      <c r="W42" s="4"/>
      <c r="X42" s="4"/>
      <c r="Y42" s="4"/>
      <c r="Z42" s="4"/>
    </row>
    <row r="43" ht="15.75" customHeight="1">
      <c r="A43" s="29">
        <v>0.89</v>
      </c>
      <c r="B43" s="31">
        <f t="shared" ref="B43:F43" si="11">$B$15-((($B$32/$A43+$B$33)*(1+$B$34))*(1-$B$35*MIN(1,B$39))*(1+$B$36)+$B$37)</f>
        <v>-0.3714211161</v>
      </c>
      <c r="C43" s="31">
        <f t="shared" si="11"/>
        <v>-0.3007170388</v>
      </c>
      <c r="D43" s="31">
        <f t="shared" si="11"/>
        <v>-0.2300129616</v>
      </c>
      <c r="E43" s="31">
        <f t="shared" si="11"/>
        <v>-0.1593088843</v>
      </c>
      <c r="F43" s="31">
        <f t="shared" si="11"/>
        <v>-0.08860480705</v>
      </c>
      <c r="G43" s="4"/>
      <c r="H43" s="4"/>
      <c r="I43" s="4"/>
      <c r="J43" s="4"/>
      <c r="K43" s="4"/>
      <c r="L43" s="4"/>
      <c r="M43" s="4"/>
      <c r="N43" s="4"/>
      <c r="O43" s="4"/>
      <c r="P43" s="4"/>
      <c r="Q43" s="4"/>
      <c r="R43" s="4"/>
      <c r="S43" s="4"/>
      <c r="T43" s="4"/>
      <c r="U43" s="4"/>
      <c r="V43" s="4"/>
      <c r="W43" s="4"/>
      <c r="X43" s="4"/>
      <c r="Y43" s="4"/>
      <c r="Z43" s="4"/>
    </row>
    <row r="44" ht="15.75" customHeight="1">
      <c r="A44" s="29">
        <v>0.92</v>
      </c>
      <c r="B44" s="31">
        <f t="shared" ref="B44:F44" si="12">$B$15-((($B$32/$A44+$B$33)*(1+$B$34))*(1-$B$35*MIN(1,B$39))*(1+$B$36)+$B$37)</f>
        <v>-0.2524898474</v>
      </c>
      <c r="C44" s="31">
        <f t="shared" si="12"/>
        <v>-0.1838670674</v>
      </c>
      <c r="D44" s="31">
        <f t="shared" si="12"/>
        <v>-0.1152442873</v>
      </c>
      <c r="E44" s="31">
        <f t="shared" si="12"/>
        <v>-0.04662150725</v>
      </c>
      <c r="F44" s="31">
        <f t="shared" si="12"/>
        <v>0.02200127282</v>
      </c>
      <c r="G44" s="4"/>
      <c r="H44" s="4"/>
      <c r="I44" s="4"/>
      <c r="J44" s="4"/>
      <c r="K44" s="4"/>
      <c r="L44" s="4"/>
      <c r="M44" s="4"/>
      <c r="N44" s="4"/>
      <c r="O44" s="4"/>
      <c r="P44" s="4"/>
      <c r="Q44" s="4"/>
      <c r="R44" s="4"/>
      <c r="S44" s="4"/>
      <c r="T44" s="4"/>
      <c r="U44" s="4"/>
      <c r="V44" s="4"/>
      <c r="W44" s="4"/>
      <c r="X44" s="4"/>
      <c r="Y44" s="4"/>
      <c r="Z44" s="4"/>
    </row>
    <row r="45" ht="15.75" customHeight="1">
      <c r="A45" s="29">
        <v>0.95</v>
      </c>
      <c r="B45" s="31">
        <f t="shared" ref="B45:F45" si="13">$B$15-((($B$32/$A45+$B$33)*(1+$B$34))*(1-$B$35*MIN(1,B$39))*(1+$B$36)+$B$37)</f>
        <v>-0.1410700273</v>
      </c>
      <c r="C45" s="31">
        <f t="shared" si="13"/>
        <v>-0.07439709409</v>
      </c>
      <c r="D45" s="31">
        <f t="shared" si="13"/>
        <v>-0.007724160881</v>
      </c>
      <c r="E45" s="31">
        <f t="shared" si="13"/>
        <v>0.05894877233</v>
      </c>
      <c r="F45" s="31">
        <f t="shared" si="13"/>
        <v>0.1256217055</v>
      </c>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3" t="s">
        <v>183</v>
      </c>
      <c r="B47" s="38">
        <f t="array" ref="B47">ROUND(((($B$32/INDEX(Calc!$C$21:$AI$21,MATCH(Summary!$A$6&amp;"|"&amp;Inputs!$C$18,Calc!$C$6:$AI$6,0))+$B$33)*(1+$B$34))*(1-$B$35*MIN(1,INDEX(Calc!$C$36:$AI$36,MATCH(Summary!$A$6&amp;"|"&amp;Inputs!$C$18,Calc!$C$6:$AI$6,0))))*(1+$B$36)+$B$37)-$B$14,6)</f>
        <v>0</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35" t="s">
        <v>185</v>
      </c>
      <c r="B48" s="36">
        <f t="array" ref="B48">($B$32/((($B$15-$B$37)/((1+$B$34)*(1-$B$35*MIN(1,INDEX(Calc!$C$36:$AI$36,MATCH(Summary!$A$6&amp;"|"&amp;Inputs!$C$18,Calc!$C$6:$AI$6,0))))*(1+$B$36))-$B$33)))</f>
        <v>0.9522306793</v>
      </c>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3" t="s">
        <v>188</v>
      </c>
      <c r="B49" s="38">
        <f t="array" ref="B49">ROUND(((($B$32/$B$48+$B$33)*(1+$B$34))*(1-$B$35*MIN(1,INDEX(Calc!$C$36:$AI$36,MATCH(Summary!$A$6&amp;"|"&amp;Inputs!$C$18,Calc!$C$6:$AI$6,0))))*(1+$B$36)+$B$37)-$B$15,6)</f>
        <v>0</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B19:G25">
    <cfRule type="expression" dxfId="0" priority="1">
      <formula>B19&gt;0</formula>
    </cfRule>
  </conditionalFormatting>
  <conditionalFormatting sqref="B19:G25">
    <cfRule type="expression" dxfId="1" priority="2">
      <formula>B19&lt;=0</formula>
    </cfRule>
  </conditionalFormatting>
  <conditionalFormatting sqref="B40:F45">
    <cfRule type="expression" dxfId="0" priority="3">
      <formula>B40&gt;0</formula>
    </cfRule>
  </conditionalFormatting>
  <conditionalFormatting sqref="B40:F45">
    <cfRule type="expression" dxfId="1" priority="4">
      <formula>B40&lt;=0</formula>
    </cfRule>
  </conditionalFormatting>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6.0"/>
    <col customWidth="1" min="2" max="7" width="15.0"/>
    <col customWidth="1" min="8" max="8" width="3.0"/>
    <col customWidth="1" min="9" max="9" width="8.71"/>
    <col customWidth="1" min="10" max="10" width="14.0"/>
    <col customWidth="1" min="11" max="26" width="8.71"/>
  </cols>
  <sheetData>
    <row r="1">
      <c r="A1" s="2" t="s">
        <v>203</v>
      </c>
      <c r="B1" s="4"/>
      <c r="C1" s="4"/>
      <c r="D1" s="4"/>
      <c r="E1" s="4"/>
      <c r="F1" s="4"/>
      <c r="G1" s="4"/>
      <c r="H1" s="4"/>
      <c r="I1" s="4"/>
      <c r="J1" s="4"/>
      <c r="K1" s="4"/>
      <c r="L1" s="4"/>
      <c r="M1" s="4"/>
      <c r="N1" s="4"/>
      <c r="O1" s="4"/>
      <c r="P1" s="4"/>
      <c r="Q1" s="4"/>
      <c r="R1" s="4"/>
      <c r="S1" s="4"/>
      <c r="T1" s="4"/>
      <c r="U1" s="4"/>
      <c r="V1" s="4"/>
      <c r="W1" s="4"/>
      <c r="X1" s="4"/>
      <c r="Y1" s="4"/>
      <c r="Z1" s="4"/>
    </row>
    <row r="2">
      <c r="A2" s="3" t="s">
        <v>204</v>
      </c>
      <c r="B2" s="4"/>
      <c r="C2" s="4"/>
      <c r="D2" s="4"/>
      <c r="E2" s="4"/>
      <c r="F2" s="4"/>
      <c r="G2" s="4"/>
      <c r="H2" s="4"/>
      <c r="I2" s="4"/>
      <c r="J2" s="4"/>
      <c r="K2" s="4"/>
      <c r="L2" s="4"/>
      <c r="M2" s="4"/>
      <c r="N2" s="4"/>
      <c r="O2" s="4"/>
      <c r="P2" s="4"/>
      <c r="Q2" s="4"/>
      <c r="R2" s="4"/>
      <c r="S2" s="4"/>
      <c r="T2" s="4"/>
      <c r="U2" s="4"/>
      <c r="V2" s="4"/>
      <c r="W2" s="4"/>
      <c r="X2" s="4"/>
      <c r="Y2" s="4"/>
      <c r="Z2" s="4"/>
    </row>
    <row r="3">
      <c r="A3" s="27" t="s">
        <v>205</v>
      </c>
      <c r="B3" s="48" t="s">
        <v>67</v>
      </c>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6" t="s">
        <v>206</v>
      </c>
      <c r="B5" s="8"/>
      <c r="C5" s="8"/>
      <c r="D5" s="8"/>
      <c r="E5" s="8"/>
      <c r="F5" s="8"/>
      <c r="G5" s="8"/>
      <c r="H5" s="4"/>
      <c r="I5" s="4"/>
      <c r="J5" s="4"/>
      <c r="K5" s="4"/>
      <c r="L5" s="4"/>
      <c r="M5" s="4"/>
      <c r="N5" s="4"/>
      <c r="O5" s="4"/>
      <c r="P5" s="4"/>
      <c r="Q5" s="4"/>
      <c r="R5" s="4"/>
      <c r="S5" s="4"/>
      <c r="T5" s="4"/>
      <c r="U5" s="4"/>
      <c r="V5" s="4"/>
      <c r="W5" s="4"/>
      <c r="X5" s="4"/>
      <c r="Y5" s="4"/>
      <c r="Z5" s="4"/>
    </row>
    <row r="6" ht="30.0" customHeight="1">
      <c r="A6" s="9" t="s">
        <v>207</v>
      </c>
      <c r="B6" s="9" t="s">
        <v>208</v>
      </c>
      <c r="C6" s="9" t="s">
        <v>209</v>
      </c>
      <c r="D6" s="9" t="s">
        <v>210</v>
      </c>
      <c r="E6" s="9" t="s">
        <v>211</v>
      </c>
      <c r="F6" s="9" t="s">
        <v>212</v>
      </c>
      <c r="G6" s="9" t="s">
        <v>213</v>
      </c>
      <c r="H6" s="4"/>
      <c r="I6" s="4"/>
      <c r="J6" s="9" t="s">
        <v>214</v>
      </c>
      <c r="K6" s="4"/>
      <c r="L6" s="4"/>
      <c r="M6" s="4"/>
      <c r="N6" s="4"/>
      <c r="O6" s="4"/>
      <c r="P6" s="4"/>
      <c r="Q6" s="4"/>
      <c r="R6" s="4"/>
      <c r="S6" s="4"/>
      <c r="T6" s="4"/>
      <c r="U6" s="4"/>
      <c r="V6" s="4"/>
      <c r="W6" s="4"/>
      <c r="X6" s="4"/>
      <c r="Y6" s="4"/>
      <c r="Z6" s="4"/>
    </row>
    <row r="7">
      <c r="A7" s="10" t="s">
        <v>215</v>
      </c>
      <c r="B7" s="31">
        <f>IF("S"="S",$J7,0)</f>
        <v>3.139034168</v>
      </c>
      <c r="C7" s="31">
        <f>IF("S"="B",$J7,0)</f>
        <v>0</v>
      </c>
      <c r="D7" s="31">
        <f t="shared" ref="D7:D9" si="1">IF("S"="S",$J7,0)</f>
        <v>3.139034168</v>
      </c>
      <c r="E7" s="31">
        <f t="shared" ref="E7:E9" si="2">IF("S"="B",$J7,0)</f>
        <v>0</v>
      </c>
      <c r="F7" s="31">
        <f t="shared" ref="F7:F12" si="3">IF("S"="S",$J7,0)</f>
        <v>3.139034168</v>
      </c>
      <c r="G7" s="31">
        <f t="shared" ref="G7:G12" si="4">IF("S"="B",$J7,0)</f>
        <v>0</v>
      </c>
      <c r="H7" s="4"/>
      <c r="I7" s="4"/>
      <c r="J7" s="49">
        <f t="array" ref="J7">INDEX(Calc!$C$53:$AI$53,MATCH(Summary!$A$6&amp;"|"&amp;$B$3,Calc!$C$6:$AI$6,0))</f>
        <v>3.139034168</v>
      </c>
      <c r="K7" s="4"/>
      <c r="L7" s="4"/>
      <c r="M7" s="4"/>
      <c r="N7" s="4"/>
      <c r="O7" s="4"/>
      <c r="P7" s="4"/>
      <c r="Q7" s="4"/>
      <c r="R7" s="4"/>
      <c r="S7" s="4"/>
      <c r="T7" s="4"/>
      <c r="U7" s="4"/>
      <c r="V7" s="4"/>
      <c r="W7" s="4"/>
      <c r="X7" s="4"/>
      <c r="Y7" s="4"/>
      <c r="Z7" s="4"/>
    </row>
    <row r="8">
      <c r="A8" s="10" t="s">
        <v>197</v>
      </c>
      <c r="B8" s="31">
        <f t="shared" ref="B8:B12" si="5">IF("B"="S",$J8,0)</f>
        <v>0</v>
      </c>
      <c r="C8" s="31">
        <f t="shared" ref="C8:C12" si="6">IF("B"="B",$J8,0)</f>
        <v>0.1365</v>
      </c>
      <c r="D8" s="31">
        <f t="shared" si="1"/>
        <v>0.1365</v>
      </c>
      <c r="E8" s="31">
        <f t="shared" si="2"/>
        <v>0</v>
      </c>
      <c r="F8" s="31">
        <f t="shared" si="3"/>
        <v>0.1365</v>
      </c>
      <c r="G8" s="31">
        <f t="shared" si="4"/>
        <v>0</v>
      </c>
      <c r="H8" s="4"/>
      <c r="I8" s="4"/>
      <c r="J8" s="49">
        <f t="array" ref="J8">INDEX(Calc!$C$56:$AI$56,MATCH(Summary!$A$6&amp;"|"&amp;$B$3,Calc!$C$6:$AI$6,0))</f>
        <v>0.1365</v>
      </c>
      <c r="K8" s="4"/>
      <c r="L8" s="4"/>
      <c r="M8" s="4"/>
      <c r="N8" s="4"/>
      <c r="O8" s="4"/>
      <c r="P8" s="4"/>
      <c r="Q8" s="4"/>
      <c r="R8" s="4"/>
      <c r="S8" s="4"/>
      <c r="T8" s="4"/>
      <c r="U8" s="4"/>
      <c r="V8" s="4"/>
      <c r="W8" s="4"/>
      <c r="X8" s="4"/>
      <c r="Y8" s="4"/>
      <c r="Z8" s="4"/>
    </row>
    <row r="9">
      <c r="A9" s="10" t="s">
        <v>121</v>
      </c>
      <c r="B9" s="31">
        <f t="shared" si="5"/>
        <v>0</v>
      </c>
      <c r="C9" s="31">
        <f t="shared" si="6"/>
        <v>0.009417102503</v>
      </c>
      <c r="D9" s="31">
        <f t="shared" si="1"/>
        <v>0.009417102503</v>
      </c>
      <c r="E9" s="31">
        <f t="shared" si="2"/>
        <v>0</v>
      </c>
      <c r="F9" s="31">
        <f t="shared" si="3"/>
        <v>0.009417102503</v>
      </c>
      <c r="G9" s="31">
        <f t="shared" si="4"/>
        <v>0</v>
      </c>
      <c r="H9" s="4"/>
      <c r="I9" s="4"/>
      <c r="J9" s="49">
        <f t="array" ref="J9">INDEX(Calc!$C$57:$AI$57,MATCH(Summary!$A$6&amp;"|"&amp;$B$3,Calc!$C$6:$AI$6,0))</f>
        <v>0.009417102503</v>
      </c>
      <c r="K9" s="4"/>
      <c r="L9" s="4"/>
      <c r="M9" s="4"/>
      <c r="N9" s="4"/>
      <c r="O9" s="4"/>
      <c r="P9" s="4"/>
      <c r="Q9" s="4"/>
      <c r="R9" s="4"/>
      <c r="S9" s="4"/>
      <c r="T9" s="4"/>
      <c r="U9" s="4"/>
      <c r="V9" s="4"/>
      <c r="W9" s="4"/>
      <c r="X9" s="4"/>
      <c r="Y9" s="4"/>
      <c r="Z9" s="4"/>
    </row>
    <row r="10">
      <c r="A10" s="10" t="s">
        <v>198</v>
      </c>
      <c r="B10" s="31">
        <f t="shared" si="5"/>
        <v>0</v>
      </c>
      <c r="C10" s="31">
        <f t="shared" si="6"/>
        <v>0.3613446397</v>
      </c>
      <c r="D10" s="31">
        <f t="shared" ref="D10:D12" si="7">IF("B"="S",$J10,0)</f>
        <v>0</v>
      </c>
      <c r="E10" s="31">
        <f t="shared" ref="E10:E12" si="8">IF("B"="B",$J10,0)</f>
        <v>0.3613446397</v>
      </c>
      <c r="F10" s="31">
        <f t="shared" si="3"/>
        <v>0.3613446397</v>
      </c>
      <c r="G10" s="31">
        <f t="shared" si="4"/>
        <v>0</v>
      </c>
      <c r="H10" s="4"/>
      <c r="I10" s="4"/>
      <c r="J10" s="49">
        <f t="array" ref="J10">INDEX(Calc!$C$60:$AI$60,MATCH(Summary!$A$6&amp;"|"&amp;$B$3,Calc!$C$6:$AI$6,0))+INDEX(Calc!$C$61:$AI$61,MATCH(Summary!$A$6&amp;"|"&amp;$B$3,Calc!$C$6:$AI$6,0))+INDEX(Calc!$C$62:$AI$62,MATCH(Summary!$A$6&amp;"|"&amp;$B$3,Calc!$C$6:$AI$6,0))</f>
        <v>0.3613446397</v>
      </c>
      <c r="K10" s="4"/>
      <c r="L10" s="4"/>
      <c r="M10" s="4"/>
      <c r="N10" s="4"/>
      <c r="O10" s="4"/>
      <c r="P10" s="4"/>
      <c r="Q10" s="4"/>
      <c r="R10" s="4"/>
      <c r="S10" s="4"/>
      <c r="T10" s="4"/>
      <c r="U10" s="4"/>
      <c r="V10" s="4"/>
      <c r="W10" s="4"/>
      <c r="X10" s="4"/>
      <c r="Y10" s="4"/>
      <c r="Z10" s="4"/>
    </row>
    <row r="11">
      <c r="A11" s="10" t="s">
        <v>216</v>
      </c>
      <c r="B11" s="31">
        <f t="shared" si="5"/>
        <v>0</v>
      </c>
      <c r="C11" s="31">
        <f t="shared" si="6"/>
        <v>0.01663980508</v>
      </c>
      <c r="D11" s="31">
        <f t="shared" si="7"/>
        <v>0</v>
      </c>
      <c r="E11" s="31">
        <f t="shared" si="8"/>
        <v>0.01663980508</v>
      </c>
      <c r="F11" s="31">
        <f t="shared" si="3"/>
        <v>0.01663980508</v>
      </c>
      <c r="G11" s="31">
        <f t="shared" si="4"/>
        <v>0</v>
      </c>
      <c r="H11" s="4"/>
      <c r="I11" s="4"/>
      <c r="J11" s="49">
        <f t="array" ref="J11">INDEX(Calc!$C$63:$AI$63,MATCH(Summary!$A$6&amp;"|"&amp;$B$3,Calc!$C$6:$AI$6,0))+INDEX(Calc!$C$64:$AI$64,MATCH(Summary!$A$6&amp;"|"&amp;$B$3,Calc!$C$6:$AI$6,0))</f>
        <v>0.01663980508</v>
      </c>
      <c r="K11" s="4"/>
      <c r="L11" s="4"/>
      <c r="M11" s="4"/>
      <c r="N11" s="4"/>
      <c r="O11" s="4"/>
      <c r="P11" s="4"/>
      <c r="Q11" s="4"/>
      <c r="R11" s="4"/>
      <c r="S11" s="4"/>
      <c r="T11" s="4"/>
      <c r="U11" s="4"/>
      <c r="V11" s="4"/>
      <c r="W11" s="4"/>
      <c r="X11" s="4"/>
      <c r="Y11" s="4"/>
      <c r="Z11" s="4"/>
    </row>
    <row r="12">
      <c r="A12" s="10" t="s">
        <v>217</v>
      </c>
      <c r="B12" s="31">
        <f t="shared" si="5"/>
        <v>0</v>
      </c>
      <c r="C12" s="31">
        <f t="shared" si="6"/>
        <v>0.01427615539</v>
      </c>
      <c r="D12" s="31">
        <f t="shared" si="7"/>
        <v>0</v>
      </c>
      <c r="E12" s="31">
        <f t="shared" si="8"/>
        <v>0.01427615539</v>
      </c>
      <c r="F12" s="31">
        <f t="shared" si="3"/>
        <v>0.01427615539</v>
      </c>
      <c r="G12" s="31">
        <f t="shared" si="4"/>
        <v>0</v>
      </c>
      <c r="H12" s="4"/>
      <c r="I12" s="4"/>
      <c r="J12" s="49">
        <f t="array" ref="J12">INDEX(Calc!$C$65:$AI$65,MATCH(Summary!$A$6&amp;"|"&amp;$B$3,Calc!$C$6:$AI$6,0))</f>
        <v>0.01427615539</v>
      </c>
      <c r="K12" s="4"/>
      <c r="L12" s="4"/>
      <c r="M12" s="4"/>
      <c r="N12" s="4"/>
      <c r="O12" s="4"/>
      <c r="P12" s="4"/>
      <c r="Q12" s="4"/>
      <c r="R12" s="4"/>
      <c r="S12" s="4"/>
      <c r="T12" s="4"/>
      <c r="U12" s="4"/>
      <c r="V12" s="4"/>
      <c r="W12" s="4"/>
      <c r="X12" s="4"/>
      <c r="Y12" s="4"/>
      <c r="Z12" s="4"/>
    </row>
    <row r="13">
      <c r="A13" s="46" t="s">
        <v>218</v>
      </c>
      <c r="B13" s="47">
        <f t="shared" ref="B13:G13" si="9">SUM(B7:B12)</f>
        <v>3.139034168</v>
      </c>
      <c r="C13" s="47">
        <f t="shared" si="9"/>
        <v>0.5381777027</v>
      </c>
      <c r="D13" s="47">
        <f t="shared" si="9"/>
        <v>3.28495127</v>
      </c>
      <c r="E13" s="47">
        <f t="shared" si="9"/>
        <v>0.3922606002</v>
      </c>
      <c r="F13" s="47">
        <f t="shared" si="9"/>
        <v>3.67721187</v>
      </c>
      <c r="G13" s="47">
        <f t="shared" si="9"/>
        <v>0</v>
      </c>
      <c r="H13" s="4"/>
      <c r="I13" s="4"/>
      <c r="J13" s="4"/>
      <c r="K13" s="4"/>
      <c r="L13" s="4"/>
      <c r="M13" s="4"/>
      <c r="N13" s="4"/>
      <c r="O13" s="4"/>
      <c r="P13" s="4"/>
      <c r="Q13" s="4"/>
      <c r="R13" s="4"/>
      <c r="S13" s="4"/>
      <c r="T13" s="4"/>
      <c r="U13" s="4"/>
      <c r="V13" s="4"/>
      <c r="W13" s="4"/>
      <c r="X13" s="4"/>
      <c r="Y13" s="4"/>
      <c r="Z13" s="4"/>
    </row>
    <row r="14">
      <c r="A14" s="10" t="s">
        <v>220</v>
      </c>
      <c r="B14" s="31">
        <v>0.0</v>
      </c>
      <c r="C14" s="31">
        <v>0.0</v>
      </c>
      <c r="D14" s="10"/>
      <c r="E14" s="31">
        <f>Inputs!$B$15*($J$8+$J$9)</f>
        <v>0.0116733682</v>
      </c>
      <c r="F14" s="10"/>
      <c r="G14" s="31">
        <f>Inputs!$B$15*($J$8+$J$9)+Inputs!$B$16*($J$10+$J$11+$J$12)</f>
        <v>0.03520900421</v>
      </c>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6" t="s">
        <v>222</v>
      </c>
      <c r="B16" s="50" t="s">
        <v>223</v>
      </c>
      <c r="C16" s="47">
        <f>SUM($J$7:$J$12)+C14</f>
        <v>3.67721187</v>
      </c>
      <c r="D16" s="50" t="s">
        <v>224</v>
      </c>
      <c r="E16" s="47">
        <f>SUM($J$7:$J$12)+E14</f>
        <v>3.688885239</v>
      </c>
      <c r="F16" s="50" t="s">
        <v>225</v>
      </c>
      <c r="G16" s="47">
        <f>SUM($J$7:$J$12)+G14</f>
        <v>3.712420875</v>
      </c>
      <c r="H16" s="4"/>
      <c r="I16" s="4"/>
      <c r="J16" s="4"/>
      <c r="K16" s="4"/>
      <c r="L16" s="4"/>
      <c r="M16" s="4"/>
      <c r="N16" s="4"/>
      <c r="O16" s="4"/>
      <c r="P16" s="4"/>
      <c r="Q16" s="4"/>
      <c r="R16" s="4"/>
      <c r="S16" s="4"/>
      <c r="T16" s="4"/>
      <c r="U16" s="4"/>
      <c r="V16" s="4"/>
      <c r="W16" s="4"/>
      <c r="X16" s="4"/>
      <c r="Y16" s="4"/>
      <c r="Z16" s="4"/>
    </row>
    <row r="17">
      <c r="A17" s="10" t="s">
        <v>226</v>
      </c>
      <c r="B17" s="4"/>
      <c r="C17" s="34">
        <f>C16/$C$16-1</f>
        <v>0</v>
      </c>
      <c r="D17" s="4"/>
      <c r="E17" s="34">
        <f>E16/$C$16-1</f>
        <v>0.003174516077</v>
      </c>
      <c r="F17" s="4"/>
      <c r="G17" s="34">
        <f>G16/$C$16-1</f>
        <v>0.009574918567</v>
      </c>
      <c r="H17" s="4"/>
      <c r="I17" s="4"/>
      <c r="J17" s="4"/>
      <c r="K17" s="4"/>
      <c r="L17" s="4"/>
      <c r="M17" s="4"/>
      <c r="N17" s="4"/>
      <c r="O17" s="4"/>
      <c r="P17" s="4"/>
      <c r="Q17" s="4"/>
      <c r="R17" s="4"/>
      <c r="S17" s="4"/>
      <c r="T17" s="4"/>
      <c r="U17" s="4"/>
      <c r="V17" s="4"/>
      <c r="W17" s="4"/>
      <c r="X17" s="4"/>
      <c r="Y17" s="4"/>
      <c r="Z17" s="4"/>
    </row>
    <row r="18">
      <c r="A18" s="3" t="s">
        <v>227</v>
      </c>
      <c r="B18" s="4"/>
      <c r="C18" s="38">
        <f t="array" ref="C18">ROUND(C16-INDEX(Calc!$C$66:$AI$66,MATCH(Summary!$A$6&amp;"|"&amp;$B$3,Calc!$C$6:$AI$6,0)),6)</f>
        <v>0</v>
      </c>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6" t="s">
        <v>228</v>
      </c>
      <c r="B20" s="8"/>
      <c r="C20" s="8"/>
      <c r="D20" s="8"/>
      <c r="E20" s="8"/>
      <c r="F20" s="8"/>
      <c r="G20" s="8"/>
      <c r="H20" s="4"/>
      <c r="I20" s="4"/>
      <c r="J20" s="4"/>
      <c r="K20" s="4"/>
      <c r="L20" s="4"/>
      <c r="M20" s="4"/>
      <c r="N20" s="4"/>
      <c r="O20" s="4"/>
      <c r="P20" s="4"/>
      <c r="Q20" s="4"/>
      <c r="R20" s="4"/>
      <c r="S20" s="4"/>
      <c r="T20" s="4"/>
      <c r="U20" s="4"/>
      <c r="V20" s="4"/>
      <c r="W20" s="4"/>
      <c r="X20" s="4"/>
      <c r="Y20" s="4"/>
      <c r="Z20" s="4"/>
    </row>
    <row r="21" ht="15.75" customHeight="1">
      <c r="A21" s="9"/>
      <c r="B21" s="9" t="s">
        <v>223</v>
      </c>
      <c r="C21" s="9"/>
      <c r="D21" s="9" t="s">
        <v>224</v>
      </c>
      <c r="E21" s="9"/>
      <c r="F21" s="9" t="s">
        <v>225</v>
      </c>
      <c r="G21" s="9"/>
      <c r="H21" s="4"/>
      <c r="I21" s="4"/>
      <c r="J21" s="4"/>
      <c r="K21" s="4"/>
      <c r="L21" s="4"/>
      <c r="M21" s="4"/>
      <c r="N21" s="4"/>
      <c r="O21" s="4"/>
      <c r="P21" s="4"/>
      <c r="Q21" s="4"/>
      <c r="R21" s="4"/>
      <c r="S21" s="4"/>
      <c r="T21" s="4"/>
      <c r="U21" s="4"/>
      <c r="V21" s="4"/>
      <c r="W21" s="4"/>
      <c r="X21" s="4"/>
      <c r="Y21" s="4"/>
      <c r="Z21" s="4"/>
    </row>
    <row r="22" ht="30.0" customHeight="1">
      <c r="A22" s="53" t="s">
        <v>229</v>
      </c>
      <c r="B22" s="54" t="s">
        <v>230</v>
      </c>
      <c r="C22" s="55"/>
      <c r="D22" s="54" t="s">
        <v>230</v>
      </c>
      <c r="E22" s="55"/>
      <c r="F22" s="54" t="s">
        <v>231</v>
      </c>
      <c r="G22" s="55"/>
      <c r="H22" s="4"/>
      <c r="I22" s="4"/>
      <c r="J22" s="4"/>
      <c r="K22" s="4"/>
      <c r="L22" s="4"/>
      <c r="M22" s="4"/>
      <c r="N22" s="4"/>
      <c r="O22" s="4"/>
      <c r="P22" s="4"/>
      <c r="Q22" s="4"/>
      <c r="R22" s="4"/>
      <c r="S22" s="4"/>
      <c r="T22" s="4"/>
      <c r="U22" s="4"/>
      <c r="V22" s="4"/>
      <c r="W22" s="4"/>
      <c r="X22" s="4"/>
      <c r="Y22" s="4"/>
      <c r="Z22" s="4"/>
    </row>
    <row r="23" ht="30.0" customHeight="1">
      <c r="A23" s="53" t="s">
        <v>232</v>
      </c>
      <c r="B23" s="54" t="s">
        <v>233</v>
      </c>
      <c r="C23" s="55"/>
      <c r="D23" s="54" t="s">
        <v>234</v>
      </c>
      <c r="E23" s="55"/>
      <c r="F23" s="54" t="s">
        <v>234</v>
      </c>
      <c r="G23" s="55"/>
      <c r="H23" s="4"/>
      <c r="I23" s="4"/>
      <c r="J23" s="4"/>
      <c r="K23" s="4"/>
      <c r="L23" s="4"/>
      <c r="M23" s="4"/>
      <c r="N23" s="4"/>
      <c r="O23" s="4"/>
      <c r="P23" s="4"/>
      <c r="Q23" s="4"/>
      <c r="R23" s="4"/>
      <c r="S23" s="4"/>
      <c r="T23" s="4"/>
      <c r="U23" s="4"/>
      <c r="V23" s="4"/>
      <c r="W23" s="4"/>
      <c r="X23" s="4"/>
      <c r="Y23" s="4"/>
      <c r="Z23" s="4"/>
    </row>
    <row r="24" ht="30.0" customHeight="1">
      <c r="A24" s="53" t="s">
        <v>235</v>
      </c>
      <c r="B24" s="54" t="s">
        <v>233</v>
      </c>
      <c r="C24" s="55"/>
      <c r="D24" s="54" t="s">
        <v>233</v>
      </c>
      <c r="E24" s="55"/>
      <c r="F24" s="54" t="s">
        <v>236</v>
      </c>
      <c r="G24" s="55"/>
      <c r="H24" s="4"/>
      <c r="I24" s="4"/>
      <c r="J24" s="4"/>
      <c r="K24" s="4"/>
      <c r="L24" s="4"/>
      <c r="M24" s="4"/>
      <c r="N24" s="4"/>
      <c r="O24" s="4"/>
      <c r="P24" s="4"/>
      <c r="Q24" s="4"/>
      <c r="R24" s="4"/>
      <c r="S24" s="4"/>
      <c r="T24" s="4"/>
      <c r="U24" s="4"/>
      <c r="V24" s="4"/>
      <c r="W24" s="4"/>
      <c r="X24" s="4"/>
      <c r="Y24" s="4"/>
      <c r="Z24" s="4"/>
    </row>
    <row r="25" ht="30.0" customHeight="1">
      <c r="A25" s="53" t="s">
        <v>238</v>
      </c>
      <c r="B25" s="54" t="s">
        <v>233</v>
      </c>
      <c r="C25" s="55"/>
      <c r="D25" s="54" t="s">
        <v>233</v>
      </c>
      <c r="E25" s="55"/>
      <c r="F25" s="54" t="s">
        <v>234</v>
      </c>
      <c r="G25" s="55"/>
      <c r="H25" s="4"/>
      <c r="I25" s="4"/>
      <c r="J25" s="4"/>
      <c r="K25" s="4"/>
      <c r="L25" s="4"/>
      <c r="M25" s="4"/>
      <c r="N25" s="4"/>
      <c r="O25" s="4"/>
      <c r="P25" s="4"/>
      <c r="Q25" s="4"/>
      <c r="R25" s="4"/>
      <c r="S25" s="4"/>
      <c r="T25" s="4"/>
      <c r="U25" s="4"/>
      <c r="V25" s="4"/>
      <c r="W25" s="4"/>
      <c r="X25" s="4"/>
      <c r="Y25" s="4"/>
      <c r="Z25" s="4"/>
    </row>
    <row r="26" ht="43.5" customHeight="1">
      <c r="A26" s="53" t="s">
        <v>239</v>
      </c>
      <c r="B26" s="54" t="s">
        <v>240</v>
      </c>
      <c r="C26" s="55"/>
      <c r="D26" s="54" t="s">
        <v>241</v>
      </c>
      <c r="E26" s="55"/>
      <c r="F26" s="54" t="s">
        <v>242</v>
      </c>
      <c r="G26" s="55"/>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D24:E24"/>
    <mergeCell ref="F24:G24"/>
    <mergeCell ref="B25:C25"/>
    <mergeCell ref="D25:E25"/>
    <mergeCell ref="F25:G25"/>
    <mergeCell ref="B26:C26"/>
    <mergeCell ref="D26:E26"/>
    <mergeCell ref="F26:G26"/>
    <mergeCell ref="B22:C22"/>
    <mergeCell ref="D22:E22"/>
    <mergeCell ref="F22:G22"/>
    <mergeCell ref="B23:C23"/>
    <mergeCell ref="D23:E23"/>
    <mergeCell ref="F23:G23"/>
    <mergeCell ref="B24:C24"/>
  </mergeCells>
  <dataValidations>
    <dataValidation type="list" allowBlank="1" sqref="B3">
      <formula1>"China,Vietnam"</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46.0"/>
    <col customWidth="1" min="2" max="2" width="12.0"/>
    <col customWidth="1" min="3" max="35" width="15.0"/>
  </cols>
  <sheetData>
    <row r="1">
      <c r="A1" s="2" t="s">
        <v>219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row>
    <row r="2">
      <c r="A2" s="3" t="s">
        <v>221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row>
    <row r="4" ht="54.0" customHeight="1">
      <c r="A4" s="51" t="s">
        <v>16</v>
      </c>
      <c r="B4" s="3"/>
      <c r="C4" s="52" t="str">
        <f>Scenarios!$A$5</f>
        <v>Base case</v>
      </c>
      <c r="D4" s="52" t="str">
        <f>Scenarios!$A$5</f>
        <v>Base case</v>
      </c>
      <c r="E4" s="52" t="str">
        <f>Scenarios!$A$5</f>
        <v>Base case</v>
      </c>
      <c r="F4" s="52" t="str">
        <f>Scenarios!$A$6</f>
        <v>Import duty +10 pts</v>
      </c>
      <c r="G4" s="52" t="str">
        <f>Scenarios!$A$6</f>
        <v>Import duty +10 pts</v>
      </c>
      <c r="H4" s="52" t="str">
        <f>Scenarios!$A$6</f>
        <v>Import duty +10 pts</v>
      </c>
      <c r="I4" s="52" t="str">
        <f>Scenarios!$A$7</f>
        <v>Import duty exempt (BCD to 0)</v>
      </c>
      <c r="J4" s="52" t="str">
        <f>Scenarios!$A$7</f>
        <v>Import duty exempt (BCD to 0)</v>
      </c>
      <c r="K4" s="52" t="str">
        <f>Scenarios!$A$7</f>
        <v>Import duty exempt (BCD to 0)</v>
      </c>
      <c r="L4" s="52" t="str">
        <f>Scenarios!$A$8</f>
        <v>Freight spike x2.5</v>
      </c>
      <c r="M4" s="52" t="str">
        <f>Scenarios!$A$8</f>
        <v>Freight spike x2.5</v>
      </c>
      <c r="N4" s="52" t="str">
        <f>Scenarios!$A$8</f>
        <v>Freight spike x2.5</v>
      </c>
      <c r="O4" s="52" t="str">
        <f>Scenarios!$A$9</f>
        <v>Volume -10%</v>
      </c>
      <c r="P4" s="52" t="str">
        <f>Scenarios!$A$9</f>
        <v>Volume -10%</v>
      </c>
      <c r="Q4" s="52" t="str">
        <f>Scenarios!$A$9</f>
        <v>Volume -10%</v>
      </c>
      <c r="R4" s="52" t="str">
        <f>Scenarios!$A$10</f>
        <v>Volume +10%</v>
      </c>
      <c r="S4" s="52" t="str">
        <f>Scenarios!$A$10</f>
        <v>Volume +10%</v>
      </c>
      <c r="T4" s="52" t="str">
        <f>Scenarios!$A$10</f>
        <v>Volume +10%</v>
      </c>
      <c r="U4" s="52" t="str">
        <f>Scenarios!$A$11</f>
        <v>Aluminium +15%</v>
      </c>
      <c r="V4" s="52" t="str">
        <f>Scenarios!$A$11</f>
        <v>Aluminium +15%</v>
      </c>
      <c r="W4" s="52" t="str">
        <f>Scenarios!$A$11</f>
        <v>Aluminium +15%</v>
      </c>
      <c r="X4" s="52" t="str">
        <f>Scenarios!$A$12</f>
        <v>ECMS delayed (0% pass-through)</v>
      </c>
      <c r="Y4" s="52" t="str">
        <f>Scenarios!$A$12</f>
        <v>ECMS delayed (0% pass-through)</v>
      </c>
      <c r="Z4" s="52" t="str">
        <f>Scenarios!$A$12</f>
        <v>ECMS delayed (0% pass-through)</v>
      </c>
      <c r="AA4" s="52" t="str">
        <f>Scenarios!$A$13</f>
        <v>India yield -4 pts</v>
      </c>
      <c r="AB4" s="52" t="str">
        <f>Scenarios!$A$13</f>
        <v>India yield -4 pts</v>
      </c>
      <c r="AC4" s="52" t="str">
        <f>Scenarios!$A$13</f>
        <v>India yield -4 pts</v>
      </c>
      <c r="AD4" s="52" t="str">
        <f>Scenarios!$A$14</f>
        <v>Import-shock stack (duty +10, freight x2.5, Al +15%)</v>
      </c>
      <c r="AE4" s="52" t="str">
        <f>Scenarios!$A$14</f>
        <v>Import-shock stack (duty +10, freight x2.5, Al +15%)</v>
      </c>
      <c r="AF4" s="52" t="str">
        <f>Scenarios!$A$14</f>
        <v>Import-shock stack (duty +10, freight x2.5, Al +15%)</v>
      </c>
      <c r="AG4" s="52" t="str">
        <f>Scenarios!$A$15</f>
        <v>India-risk stack (vol -10%, ECMS 0%, yield -4 pts)</v>
      </c>
      <c r="AH4" s="52" t="str">
        <f>Scenarios!$A$15</f>
        <v>India-risk stack (vol -10%, ECMS 0%, yield -4 pts)</v>
      </c>
      <c r="AI4" s="52" t="str">
        <f>Scenarios!$A$15</f>
        <v>India-risk stack (vol -10%, ECMS 0%, yield -4 pts)</v>
      </c>
    </row>
    <row r="5">
      <c r="A5" s="51" t="s">
        <v>237</v>
      </c>
      <c r="B5" s="3"/>
      <c r="C5" s="52" t="str">
        <f>Inputs!$C$18</f>
        <v>India</v>
      </c>
      <c r="D5" s="52" t="str">
        <f>Inputs!$D$18</f>
        <v>China</v>
      </c>
      <c r="E5" s="52" t="str">
        <f>Inputs!$E$18</f>
        <v>Vietnam</v>
      </c>
      <c r="F5" s="52" t="str">
        <f>Inputs!$C$18</f>
        <v>India</v>
      </c>
      <c r="G5" s="52" t="str">
        <f>Inputs!$D$18</f>
        <v>China</v>
      </c>
      <c r="H5" s="52" t="str">
        <f>Inputs!$E$18</f>
        <v>Vietnam</v>
      </c>
      <c r="I5" s="52" t="str">
        <f>Inputs!$C$18</f>
        <v>India</v>
      </c>
      <c r="J5" s="52" t="str">
        <f>Inputs!$D$18</f>
        <v>China</v>
      </c>
      <c r="K5" s="52" t="str">
        <f>Inputs!$E$18</f>
        <v>Vietnam</v>
      </c>
      <c r="L5" s="52" t="str">
        <f>Inputs!$C$18</f>
        <v>India</v>
      </c>
      <c r="M5" s="52" t="str">
        <f>Inputs!$D$18</f>
        <v>China</v>
      </c>
      <c r="N5" s="52" t="str">
        <f>Inputs!$E$18</f>
        <v>Vietnam</v>
      </c>
      <c r="O5" s="52" t="str">
        <f>Inputs!$C$18</f>
        <v>India</v>
      </c>
      <c r="P5" s="52" t="str">
        <f>Inputs!$D$18</f>
        <v>China</v>
      </c>
      <c r="Q5" s="52" t="str">
        <f>Inputs!$E$18</f>
        <v>Vietnam</v>
      </c>
      <c r="R5" s="52" t="str">
        <f>Inputs!$C$18</f>
        <v>India</v>
      </c>
      <c r="S5" s="52" t="str">
        <f>Inputs!$D$18</f>
        <v>China</v>
      </c>
      <c r="T5" s="52" t="str">
        <f>Inputs!$E$18</f>
        <v>Vietnam</v>
      </c>
      <c r="U5" s="52" t="str">
        <f>Inputs!$C$18</f>
        <v>India</v>
      </c>
      <c r="V5" s="52" t="str">
        <f>Inputs!$D$18</f>
        <v>China</v>
      </c>
      <c r="W5" s="52" t="str">
        <f>Inputs!$E$18</f>
        <v>Vietnam</v>
      </c>
      <c r="X5" s="52" t="str">
        <f>Inputs!$C$18</f>
        <v>India</v>
      </c>
      <c r="Y5" s="52" t="str">
        <f>Inputs!$D$18</f>
        <v>China</v>
      </c>
      <c r="Z5" s="52" t="str">
        <f>Inputs!$E$18</f>
        <v>Vietnam</v>
      </c>
      <c r="AA5" s="52" t="str">
        <f>Inputs!$C$18</f>
        <v>India</v>
      </c>
      <c r="AB5" s="52" t="str">
        <f>Inputs!$D$18</f>
        <v>China</v>
      </c>
      <c r="AC5" s="52" t="str">
        <f>Inputs!$E$18</f>
        <v>Vietnam</v>
      </c>
      <c r="AD5" s="52" t="str">
        <f>Inputs!$C$18</f>
        <v>India</v>
      </c>
      <c r="AE5" s="52" t="str">
        <f>Inputs!$D$18</f>
        <v>China</v>
      </c>
      <c r="AF5" s="52" t="str">
        <f>Inputs!$E$18</f>
        <v>Vietnam</v>
      </c>
      <c r="AG5" s="52" t="str">
        <f>Inputs!$C$18</f>
        <v>India</v>
      </c>
      <c r="AH5" s="52" t="str">
        <f>Inputs!$D$18</f>
        <v>China</v>
      </c>
      <c r="AI5" s="52" t="str">
        <f>Inputs!$E$18</f>
        <v>Vietnam</v>
      </c>
    </row>
    <row r="6">
      <c r="A6" s="51" t="s">
        <v>243</v>
      </c>
      <c r="B6" s="3"/>
      <c r="C6" s="56" t="str">
        <f t="shared" ref="C6:AI6" si="1">C4&amp;"|"&amp;C5</f>
        <v>Base case|India</v>
      </c>
      <c r="D6" s="56" t="str">
        <f t="shared" si="1"/>
        <v>Base case|China</v>
      </c>
      <c r="E6" s="56" t="str">
        <f t="shared" si="1"/>
        <v>Base case|Vietnam</v>
      </c>
      <c r="F6" s="56" t="str">
        <f t="shared" si="1"/>
        <v>Import duty +10 pts|India</v>
      </c>
      <c r="G6" s="56" t="str">
        <f t="shared" si="1"/>
        <v>Import duty +10 pts|China</v>
      </c>
      <c r="H6" s="56" t="str">
        <f t="shared" si="1"/>
        <v>Import duty +10 pts|Vietnam</v>
      </c>
      <c r="I6" s="56" t="str">
        <f t="shared" si="1"/>
        <v>Import duty exempt (BCD to 0)|India</v>
      </c>
      <c r="J6" s="56" t="str">
        <f t="shared" si="1"/>
        <v>Import duty exempt (BCD to 0)|China</v>
      </c>
      <c r="K6" s="56" t="str">
        <f t="shared" si="1"/>
        <v>Import duty exempt (BCD to 0)|Vietnam</v>
      </c>
      <c r="L6" s="56" t="str">
        <f t="shared" si="1"/>
        <v>Freight spike x2.5|India</v>
      </c>
      <c r="M6" s="56" t="str">
        <f t="shared" si="1"/>
        <v>Freight spike x2.5|China</v>
      </c>
      <c r="N6" s="56" t="str">
        <f t="shared" si="1"/>
        <v>Freight spike x2.5|Vietnam</v>
      </c>
      <c r="O6" s="56" t="str">
        <f t="shared" si="1"/>
        <v>Volume -10%|India</v>
      </c>
      <c r="P6" s="56" t="str">
        <f t="shared" si="1"/>
        <v>Volume -10%|China</v>
      </c>
      <c r="Q6" s="56" t="str">
        <f t="shared" si="1"/>
        <v>Volume -10%|Vietnam</v>
      </c>
      <c r="R6" s="56" t="str">
        <f t="shared" si="1"/>
        <v>Volume +10%|India</v>
      </c>
      <c r="S6" s="56" t="str">
        <f t="shared" si="1"/>
        <v>Volume +10%|China</v>
      </c>
      <c r="T6" s="56" t="str">
        <f t="shared" si="1"/>
        <v>Volume +10%|Vietnam</v>
      </c>
      <c r="U6" s="56" t="str">
        <f t="shared" si="1"/>
        <v>Aluminium +15%|India</v>
      </c>
      <c r="V6" s="56" t="str">
        <f t="shared" si="1"/>
        <v>Aluminium +15%|China</v>
      </c>
      <c r="W6" s="56" t="str">
        <f t="shared" si="1"/>
        <v>Aluminium +15%|Vietnam</v>
      </c>
      <c r="X6" s="56" t="str">
        <f t="shared" si="1"/>
        <v>ECMS delayed (0% pass-through)|India</v>
      </c>
      <c r="Y6" s="56" t="str">
        <f t="shared" si="1"/>
        <v>ECMS delayed (0% pass-through)|China</v>
      </c>
      <c r="Z6" s="56" t="str">
        <f t="shared" si="1"/>
        <v>ECMS delayed (0% pass-through)|Vietnam</v>
      </c>
      <c r="AA6" s="56" t="str">
        <f t="shared" si="1"/>
        <v>India yield -4 pts|India</v>
      </c>
      <c r="AB6" s="56" t="str">
        <f t="shared" si="1"/>
        <v>India yield -4 pts|China</v>
      </c>
      <c r="AC6" s="56" t="str">
        <f t="shared" si="1"/>
        <v>India yield -4 pts|Vietnam</v>
      </c>
      <c r="AD6" s="56" t="str">
        <f t="shared" si="1"/>
        <v>Import-shock stack (duty +10, freight x2.5, Al +15%)|India</v>
      </c>
      <c r="AE6" s="56" t="str">
        <f t="shared" si="1"/>
        <v>Import-shock stack (duty +10, freight x2.5, Al +15%)|China</v>
      </c>
      <c r="AF6" s="56" t="str">
        <f t="shared" si="1"/>
        <v>Import-shock stack (duty +10, freight x2.5, Al +15%)|Vietnam</v>
      </c>
      <c r="AG6" s="56" t="str">
        <f t="shared" si="1"/>
        <v>India-risk stack (vol -10%, ECMS 0%, yield -4 pts)|India</v>
      </c>
      <c r="AH6" s="56" t="str">
        <f t="shared" si="1"/>
        <v>India-risk stack (vol -10%, ECMS 0%, yield -4 pts)|China</v>
      </c>
      <c r="AI6" s="56" t="str">
        <f t="shared" si="1"/>
        <v>India-risk stack (vol -10%, ECMS 0%, yield -4 pts)|Vietnam</v>
      </c>
    </row>
    <row r="7">
      <c r="A7" s="51" t="s">
        <v>244</v>
      </c>
      <c r="B7" s="3" t="s">
        <v>245</v>
      </c>
      <c r="C7" s="57">
        <f t="array" ref="C7">INDEX(Scenarios!$B$5:$B$15,MATCH(C$4,Scenarios!$A$5:$A$15,0))</f>
        <v>0</v>
      </c>
      <c r="D7" s="57">
        <f t="array" ref="D7">INDEX(Scenarios!$B$5:$B$15,MATCH(D$4,Scenarios!$A$5:$A$15,0))</f>
        <v>0</v>
      </c>
      <c r="E7" s="57">
        <f t="array" ref="E7">INDEX(Scenarios!$B$5:$B$15,MATCH(E$4,Scenarios!$A$5:$A$15,0))</f>
        <v>0</v>
      </c>
      <c r="F7" s="57">
        <f t="array" ref="F7">INDEX(Scenarios!$B$5:$B$15,MATCH(F$4,Scenarios!$A$5:$A$15,0))</f>
        <v>0.1</v>
      </c>
      <c r="G7" s="57">
        <f t="array" ref="G7">INDEX(Scenarios!$B$5:$B$15,MATCH(G$4,Scenarios!$A$5:$A$15,0))</f>
        <v>0.1</v>
      </c>
      <c r="H7" s="57">
        <f t="array" ref="H7">INDEX(Scenarios!$B$5:$B$15,MATCH(H$4,Scenarios!$A$5:$A$15,0))</f>
        <v>0.1</v>
      </c>
      <c r="I7" s="57">
        <f t="array" ref="I7">INDEX(Scenarios!$B$5:$B$15,MATCH(I$4,Scenarios!$A$5:$A$15,0))</f>
        <v>-1</v>
      </c>
      <c r="J7" s="57">
        <f t="array" ref="J7">INDEX(Scenarios!$B$5:$B$15,MATCH(J$4,Scenarios!$A$5:$A$15,0))</f>
        <v>-1</v>
      </c>
      <c r="K7" s="57">
        <f t="array" ref="K7">INDEX(Scenarios!$B$5:$B$15,MATCH(K$4,Scenarios!$A$5:$A$15,0))</f>
        <v>-1</v>
      </c>
      <c r="L7" s="57">
        <f t="array" ref="L7">INDEX(Scenarios!$B$5:$B$15,MATCH(L$4,Scenarios!$A$5:$A$15,0))</f>
        <v>0</v>
      </c>
      <c r="M7" s="57">
        <f t="array" ref="M7">INDEX(Scenarios!$B$5:$B$15,MATCH(M$4,Scenarios!$A$5:$A$15,0))</f>
        <v>0</v>
      </c>
      <c r="N7" s="57">
        <f t="array" ref="N7">INDEX(Scenarios!$B$5:$B$15,MATCH(N$4,Scenarios!$A$5:$A$15,0))</f>
        <v>0</v>
      </c>
      <c r="O7" s="57">
        <f t="array" ref="O7">INDEX(Scenarios!$B$5:$B$15,MATCH(O$4,Scenarios!$A$5:$A$15,0))</f>
        <v>0</v>
      </c>
      <c r="P7" s="57">
        <f t="array" ref="P7">INDEX(Scenarios!$B$5:$B$15,MATCH(P$4,Scenarios!$A$5:$A$15,0))</f>
        <v>0</v>
      </c>
      <c r="Q7" s="57">
        <f t="array" ref="Q7">INDEX(Scenarios!$B$5:$B$15,MATCH(Q$4,Scenarios!$A$5:$A$15,0))</f>
        <v>0</v>
      </c>
      <c r="R7" s="57">
        <f t="array" ref="R7">INDEX(Scenarios!$B$5:$B$15,MATCH(R$4,Scenarios!$A$5:$A$15,0))</f>
        <v>0</v>
      </c>
      <c r="S7" s="57">
        <f t="array" ref="S7">INDEX(Scenarios!$B$5:$B$15,MATCH(S$4,Scenarios!$A$5:$A$15,0))</f>
        <v>0</v>
      </c>
      <c r="T7" s="57">
        <f t="array" ref="T7">INDEX(Scenarios!$B$5:$B$15,MATCH(T$4,Scenarios!$A$5:$A$15,0))</f>
        <v>0</v>
      </c>
      <c r="U7" s="57">
        <f t="array" ref="U7">INDEX(Scenarios!$B$5:$B$15,MATCH(U$4,Scenarios!$A$5:$A$15,0))</f>
        <v>0</v>
      </c>
      <c r="V7" s="57">
        <f t="array" ref="V7">INDEX(Scenarios!$B$5:$B$15,MATCH(V$4,Scenarios!$A$5:$A$15,0))</f>
        <v>0</v>
      </c>
      <c r="W7" s="57">
        <f t="array" ref="W7">INDEX(Scenarios!$B$5:$B$15,MATCH(W$4,Scenarios!$A$5:$A$15,0))</f>
        <v>0</v>
      </c>
      <c r="X7" s="57">
        <f t="array" ref="X7">INDEX(Scenarios!$B$5:$B$15,MATCH(X$4,Scenarios!$A$5:$A$15,0))</f>
        <v>0</v>
      </c>
      <c r="Y7" s="57">
        <f t="array" ref="Y7">INDEX(Scenarios!$B$5:$B$15,MATCH(Y$4,Scenarios!$A$5:$A$15,0))</f>
        <v>0</v>
      </c>
      <c r="Z7" s="57">
        <f t="array" ref="Z7">INDEX(Scenarios!$B$5:$B$15,MATCH(Z$4,Scenarios!$A$5:$A$15,0))</f>
        <v>0</v>
      </c>
      <c r="AA7" s="57">
        <f t="array" ref="AA7">INDEX(Scenarios!$B$5:$B$15,MATCH(AA$4,Scenarios!$A$5:$A$15,0))</f>
        <v>0</v>
      </c>
      <c r="AB7" s="57">
        <f t="array" ref="AB7">INDEX(Scenarios!$B$5:$B$15,MATCH(AB$4,Scenarios!$A$5:$A$15,0))</f>
        <v>0</v>
      </c>
      <c r="AC7" s="57">
        <f t="array" ref="AC7">INDEX(Scenarios!$B$5:$B$15,MATCH(AC$4,Scenarios!$A$5:$A$15,0))</f>
        <v>0</v>
      </c>
      <c r="AD7" s="57">
        <f t="array" ref="AD7">INDEX(Scenarios!$B$5:$B$15,MATCH(AD$4,Scenarios!$A$5:$A$15,0))</f>
        <v>0.1</v>
      </c>
      <c r="AE7" s="57">
        <f t="array" ref="AE7">INDEX(Scenarios!$B$5:$B$15,MATCH(AE$4,Scenarios!$A$5:$A$15,0))</f>
        <v>0.1</v>
      </c>
      <c r="AF7" s="57">
        <f t="array" ref="AF7">INDEX(Scenarios!$B$5:$B$15,MATCH(AF$4,Scenarios!$A$5:$A$15,0))</f>
        <v>0.1</v>
      </c>
      <c r="AG7" s="57">
        <f t="array" ref="AG7">INDEX(Scenarios!$B$5:$B$15,MATCH(AG$4,Scenarios!$A$5:$A$15,0))</f>
        <v>0</v>
      </c>
      <c r="AH7" s="57">
        <f t="array" ref="AH7">INDEX(Scenarios!$B$5:$B$15,MATCH(AH$4,Scenarios!$A$5:$A$15,0))</f>
        <v>0</v>
      </c>
      <c r="AI7" s="57">
        <f t="array" ref="AI7">INDEX(Scenarios!$B$5:$B$15,MATCH(AI$4,Scenarios!$A$5:$A$15,0))</f>
        <v>0</v>
      </c>
    </row>
    <row r="8">
      <c r="A8" s="51" t="s">
        <v>19</v>
      </c>
      <c r="B8" s="3" t="s">
        <v>246</v>
      </c>
      <c r="C8" s="58">
        <f t="array" ref="C8">INDEX(Scenarios!$C$5:$C$15,MATCH(C$4,Scenarios!$A$5:$A$15,0))</f>
        <v>1</v>
      </c>
      <c r="D8" s="58">
        <f t="array" ref="D8">INDEX(Scenarios!$C$5:$C$15,MATCH(D$4,Scenarios!$A$5:$A$15,0))</f>
        <v>1</v>
      </c>
      <c r="E8" s="58">
        <f t="array" ref="E8">INDEX(Scenarios!$C$5:$C$15,MATCH(E$4,Scenarios!$A$5:$A$15,0))</f>
        <v>1</v>
      </c>
      <c r="F8" s="58">
        <f t="array" ref="F8">INDEX(Scenarios!$C$5:$C$15,MATCH(F$4,Scenarios!$A$5:$A$15,0))</f>
        <v>1</v>
      </c>
      <c r="G8" s="58">
        <f t="array" ref="G8">INDEX(Scenarios!$C$5:$C$15,MATCH(G$4,Scenarios!$A$5:$A$15,0))</f>
        <v>1</v>
      </c>
      <c r="H8" s="58">
        <f t="array" ref="H8">INDEX(Scenarios!$C$5:$C$15,MATCH(H$4,Scenarios!$A$5:$A$15,0))</f>
        <v>1</v>
      </c>
      <c r="I8" s="58">
        <f t="array" ref="I8">INDEX(Scenarios!$C$5:$C$15,MATCH(I$4,Scenarios!$A$5:$A$15,0))</f>
        <v>1</v>
      </c>
      <c r="J8" s="58">
        <f t="array" ref="J8">INDEX(Scenarios!$C$5:$C$15,MATCH(J$4,Scenarios!$A$5:$A$15,0))</f>
        <v>1</v>
      </c>
      <c r="K8" s="58">
        <f t="array" ref="K8">INDEX(Scenarios!$C$5:$C$15,MATCH(K$4,Scenarios!$A$5:$A$15,0))</f>
        <v>1</v>
      </c>
      <c r="L8" s="58">
        <f t="array" ref="L8">INDEX(Scenarios!$C$5:$C$15,MATCH(L$4,Scenarios!$A$5:$A$15,0))</f>
        <v>2.5</v>
      </c>
      <c r="M8" s="58">
        <f t="array" ref="M8">INDEX(Scenarios!$C$5:$C$15,MATCH(M$4,Scenarios!$A$5:$A$15,0))</f>
        <v>2.5</v>
      </c>
      <c r="N8" s="58">
        <f t="array" ref="N8">INDEX(Scenarios!$C$5:$C$15,MATCH(N$4,Scenarios!$A$5:$A$15,0))</f>
        <v>2.5</v>
      </c>
      <c r="O8" s="58">
        <f t="array" ref="O8">INDEX(Scenarios!$C$5:$C$15,MATCH(O$4,Scenarios!$A$5:$A$15,0))</f>
        <v>1</v>
      </c>
      <c r="P8" s="58">
        <f t="array" ref="P8">INDEX(Scenarios!$C$5:$C$15,MATCH(P$4,Scenarios!$A$5:$A$15,0))</f>
        <v>1</v>
      </c>
      <c r="Q8" s="58">
        <f t="array" ref="Q8">INDEX(Scenarios!$C$5:$C$15,MATCH(Q$4,Scenarios!$A$5:$A$15,0))</f>
        <v>1</v>
      </c>
      <c r="R8" s="58">
        <f t="array" ref="R8">INDEX(Scenarios!$C$5:$C$15,MATCH(R$4,Scenarios!$A$5:$A$15,0))</f>
        <v>1</v>
      </c>
      <c r="S8" s="58">
        <f t="array" ref="S8">INDEX(Scenarios!$C$5:$C$15,MATCH(S$4,Scenarios!$A$5:$A$15,0))</f>
        <v>1</v>
      </c>
      <c r="T8" s="58">
        <f t="array" ref="T8">INDEX(Scenarios!$C$5:$C$15,MATCH(T$4,Scenarios!$A$5:$A$15,0))</f>
        <v>1</v>
      </c>
      <c r="U8" s="58">
        <f t="array" ref="U8">INDEX(Scenarios!$C$5:$C$15,MATCH(U$4,Scenarios!$A$5:$A$15,0))</f>
        <v>1</v>
      </c>
      <c r="V8" s="58">
        <f t="array" ref="V8">INDEX(Scenarios!$C$5:$C$15,MATCH(V$4,Scenarios!$A$5:$A$15,0))</f>
        <v>1</v>
      </c>
      <c r="W8" s="58">
        <f t="array" ref="W8">INDEX(Scenarios!$C$5:$C$15,MATCH(W$4,Scenarios!$A$5:$A$15,0))</f>
        <v>1</v>
      </c>
      <c r="X8" s="58">
        <f t="array" ref="X8">INDEX(Scenarios!$C$5:$C$15,MATCH(X$4,Scenarios!$A$5:$A$15,0))</f>
        <v>1</v>
      </c>
      <c r="Y8" s="58">
        <f t="array" ref="Y8">INDEX(Scenarios!$C$5:$C$15,MATCH(Y$4,Scenarios!$A$5:$A$15,0))</f>
        <v>1</v>
      </c>
      <c r="Z8" s="58">
        <f t="array" ref="Z8">INDEX(Scenarios!$C$5:$C$15,MATCH(Z$4,Scenarios!$A$5:$A$15,0))</f>
        <v>1</v>
      </c>
      <c r="AA8" s="58">
        <f t="array" ref="AA8">INDEX(Scenarios!$C$5:$C$15,MATCH(AA$4,Scenarios!$A$5:$A$15,0))</f>
        <v>1</v>
      </c>
      <c r="AB8" s="58">
        <f t="array" ref="AB8">INDEX(Scenarios!$C$5:$C$15,MATCH(AB$4,Scenarios!$A$5:$A$15,0))</f>
        <v>1</v>
      </c>
      <c r="AC8" s="58">
        <f t="array" ref="AC8">INDEX(Scenarios!$C$5:$C$15,MATCH(AC$4,Scenarios!$A$5:$A$15,0))</f>
        <v>1</v>
      </c>
      <c r="AD8" s="58">
        <f t="array" ref="AD8">INDEX(Scenarios!$C$5:$C$15,MATCH(AD$4,Scenarios!$A$5:$A$15,0))</f>
        <v>2.5</v>
      </c>
      <c r="AE8" s="58">
        <f t="array" ref="AE8">INDEX(Scenarios!$C$5:$C$15,MATCH(AE$4,Scenarios!$A$5:$A$15,0))</f>
        <v>2.5</v>
      </c>
      <c r="AF8" s="58">
        <f t="array" ref="AF8">INDEX(Scenarios!$C$5:$C$15,MATCH(AF$4,Scenarios!$A$5:$A$15,0))</f>
        <v>2.5</v>
      </c>
      <c r="AG8" s="58">
        <f t="array" ref="AG8">INDEX(Scenarios!$C$5:$C$15,MATCH(AG$4,Scenarios!$A$5:$A$15,0))</f>
        <v>1</v>
      </c>
      <c r="AH8" s="58">
        <f t="array" ref="AH8">INDEX(Scenarios!$C$5:$C$15,MATCH(AH$4,Scenarios!$A$5:$A$15,0))</f>
        <v>1</v>
      </c>
      <c r="AI8" s="58">
        <f t="array" ref="AI8">INDEX(Scenarios!$C$5:$C$15,MATCH(AI$4,Scenarios!$A$5:$A$15,0))</f>
        <v>1</v>
      </c>
    </row>
    <row r="9">
      <c r="A9" s="51" t="s">
        <v>21</v>
      </c>
      <c r="B9" s="3" t="s">
        <v>246</v>
      </c>
      <c r="C9" s="58">
        <f t="array" ref="C9">INDEX(Scenarios!$D$5:$D$15,MATCH(C$4,Scenarios!$A$5:$A$15,0))</f>
        <v>1</v>
      </c>
      <c r="D9" s="58">
        <f t="array" ref="D9">INDEX(Scenarios!$D$5:$D$15,MATCH(D$4,Scenarios!$A$5:$A$15,0))</f>
        <v>1</v>
      </c>
      <c r="E9" s="58">
        <f t="array" ref="E9">INDEX(Scenarios!$D$5:$D$15,MATCH(E$4,Scenarios!$A$5:$A$15,0))</f>
        <v>1</v>
      </c>
      <c r="F9" s="58">
        <f t="array" ref="F9">INDEX(Scenarios!$D$5:$D$15,MATCH(F$4,Scenarios!$A$5:$A$15,0))</f>
        <v>1</v>
      </c>
      <c r="G9" s="58">
        <f t="array" ref="G9">INDEX(Scenarios!$D$5:$D$15,MATCH(G$4,Scenarios!$A$5:$A$15,0))</f>
        <v>1</v>
      </c>
      <c r="H9" s="58">
        <f t="array" ref="H9">INDEX(Scenarios!$D$5:$D$15,MATCH(H$4,Scenarios!$A$5:$A$15,0))</f>
        <v>1</v>
      </c>
      <c r="I9" s="58">
        <f t="array" ref="I9">INDEX(Scenarios!$D$5:$D$15,MATCH(I$4,Scenarios!$A$5:$A$15,0))</f>
        <v>1</v>
      </c>
      <c r="J9" s="58">
        <f t="array" ref="J9">INDEX(Scenarios!$D$5:$D$15,MATCH(J$4,Scenarios!$A$5:$A$15,0))</f>
        <v>1</v>
      </c>
      <c r="K9" s="58">
        <f t="array" ref="K9">INDEX(Scenarios!$D$5:$D$15,MATCH(K$4,Scenarios!$A$5:$A$15,0))</f>
        <v>1</v>
      </c>
      <c r="L9" s="58">
        <f t="array" ref="L9">INDEX(Scenarios!$D$5:$D$15,MATCH(L$4,Scenarios!$A$5:$A$15,0))</f>
        <v>1</v>
      </c>
      <c r="M9" s="58">
        <f t="array" ref="M9">INDEX(Scenarios!$D$5:$D$15,MATCH(M$4,Scenarios!$A$5:$A$15,0))</f>
        <v>1</v>
      </c>
      <c r="N9" s="58">
        <f t="array" ref="N9">INDEX(Scenarios!$D$5:$D$15,MATCH(N$4,Scenarios!$A$5:$A$15,0))</f>
        <v>1</v>
      </c>
      <c r="O9" s="58">
        <f t="array" ref="O9">INDEX(Scenarios!$D$5:$D$15,MATCH(O$4,Scenarios!$A$5:$A$15,0))</f>
        <v>0.9</v>
      </c>
      <c r="P9" s="58">
        <f t="array" ref="P9">INDEX(Scenarios!$D$5:$D$15,MATCH(P$4,Scenarios!$A$5:$A$15,0))</f>
        <v>0.9</v>
      </c>
      <c r="Q9" s="58">
        <f t="array" ref="Q9">INDEX(Scenarios!$D$5:$D$15,MATCH(Q$4,Scenarios!$A$5:$A$15,0))</f>
        <v>0.9</v>
      </c>
      <c r="R9" s="58">
        <f t="array" ref="R9">INDEX(Scenarios!$D$5:$D$15,MATCH(R$4,Scenarios!$A$5:$A$15,0))</f>
        <v>1.1</v>
      </c>
      <c r="S9" s="58">
        <f t="array" ref="S9">INDEX(Scenarios!$D$5:$D$15,MATCH(S$4,Scenarios!$A$5:$A$15,0))</f>
        <v>1.1</v>
      </c>
      <c r="T9" s="58">
        <f t="array" ref="T9">INDEX(Scenarios!$D$5:$D$15,MATCH(T$4,Scenarios!$A$5:$A$15,0))</f>
        <v>1.1</v>
      </c>
      <c r="U9" s="58">
        <f t="array" ref="U9">INDEX(Scenarios!$D$5:$D$15,MATCH(U$4,Scenarios!$A$5:$A$15,0))</f>
        <v>1</v>
      </c>
      <c r="V9" s="58">
        <f t="array" ref="V9">INDEX(Scenarios!$D$5:$D$15,MATCH(V$4,Scenarios!$A$5:$A$15,0))</f>
        <v>1</v>
      </c>
      <c r="W9" s="58">
        <f t="array" ref="W9">INDEX(Scenarios!$D$5:$D$15,MATCH(W$4,Scenarios!$A$5:$A$15,0))</f>
        <v>1</v>
      </c>
      <c r="X9" s="58">
        <f t="array" ref="X9">INDEX(Scenarios!$D$5:$D$15,MATCH(X$4,Scenarios!$A$5:$A$15,0))</f>
        <v>1</v>
      </c>
      <c r="Y9" s="58">
        <f t="array" ref="Y9">INDEX(Scenarios!$D$5:$D$15,MATCH(Y$4,Scenarios!$A$5:$A$15,0))</f>
        <v>1</v>
      </c>
      <c r="Z9" s="58">
        <f t="array" ref="Z9">INDEX(Scenarios!$D$5:$D$15,MATCH(Z$4,Scenarios!$A$5:$A$15,0))</f>
        <v>1</v>
      </c>
      <c r="AA9" s="58">
        <f t="array" ref="AA9">INDEX(Scenarios!$D$5:$D$15,MATCH(AA$4,Scenarios!$A$5:$A$15,0))</f>
        <v>1</v>
      </c>
      <c r="AB9" s="58">
        <f t="array" ref="AB9">INDEX(Scenarios!$D$5:$D$15,MATCH(AB$4,Scenarios!$A$5:$A$15,0))</f>
        <v>1</v>
      </c>
      <c r="AC9" s="58">
        <f t="array" ref="AC9">INDEX(Scenarios!$D$5:$D$15,MATCH(AC$4,Scenarios!$A$5:$A$15,0))</f>
        <v>1</v>
      </c>
      <c r="AD9" s="58">
        <f t="array" ref="AD9">INDEX(Scenarios!$D$5:$D$15,MATCH(AD$4,Scenarios!$A$5:$A$15,0))</f>
        <v>1</v>
      </c>
      <c r="AE9" s="58">
        <f t="array" ref="AE9">INDEX(Scenarios!$D$5:$D$15,MATCH(AE$4,Scenarios!$A$5:$A$15,0))</f>
        <v>1</v>
      </c>
      <c r="AF9" s="58">
        <f t="array" ref="AF9">INDEX(Scenarios!$D$5:$D$15,MATCH(AF$4,Scenarios!$A$5:$A$15,0))</f>
        <v>1</v>
      </c>
      <c r="AG9" s="58">
        <f t="array" ref="AG9">INDEX(Scenarios!$D$5:$D$15,MATCH(AG$4,Scenarios!$A$5:$A$15,0))</f>
        <v>0.9</v>
      </c>
      <c r="AH9" s="58">
        <f t="array" ref="AH9">INDEX(Scenarios!$D$5:$D$15,MATCH(AH$4,Scenarios!$A$5:$A$15,0))</f>
        <v>0.9</v>
      </c>
      <c r="AI9" s="58">
        <f t="array" ref="AI9">INDEX(Scenarios!$D$5:$D$15,MATCH(AI$4,Scenarios!$A$5:$A$15,0))</f>
        <v>0.9</v>
      </c>
    </row>
    <row r="10">
      <c r="A10" s="51" t="s">
        <v>23</v>
      </c>
      <c r="B10" s="3" t="s">
        <v>246</v>
      </c>
      <c r="C10" s="58">
        <f t="array" ref="C10">INDEX(Scenarios!$E$5:$E$15,MATCH(C$4,Scenarios!$A$5:$A$15,0))</f>
        <v>1</v>
      </c>
      <c r="D10" s="58">
        <f t="array" ref="D10">INDEX(Scenarios!$E$5:$E$15,MATCH(D$4,Scenarios!$A$5:$A$15,0))</f>
        <v>1</v>
      </c>
      <c r="E10" s="58">
        <f t="array" ref="E10">INDEX(Scenarios!$E$5:$E$15,MATCH(E$4,Scenarios!$A$5:$A$15,0))</f>
        <v>1</v>
      </c>
      <c r="F10" s="58">
        <f t="array" ref="F10">INDEX(Scenarios!$E$5:$E$15,MATCH(F$4,Scenarios!$A$5:$A$15,0))</f>
        <v>1</v>
      </c>
      <c r="G10" s="58">
        <f t="array" ref="G10">INDEX(Scenarios!$E$5:$E$15,MATCH(G$4,Scenarios!$A$5:$A$15,0))</f>
        <v>1</v>
      </c>
      <c r="H10" s="58">
        <f t="array" ref="H10">INDEX(Scenarios!$E$5:$E$15,MATCH(H$4,Scenarios!$A$5:$A$15,0))</f>
        <v>1</v>
      </c>
      <c r="I10" s="58">
        <f t="array" ref="I10">INDEX(Scenarios!$E$5:$E$15,MATCH(I$4,Scenarios!$A$5:$A$15,0))</f>
        <v>1</v>
      </c>
      <c r="J10" s="58">
        <f t="array" ref="J10">INDEX(Scenarios!$E$5:$E$15,MATCH(J$4,Scenarios!$A$5:$A$15,0))</f>
        <v>1</v>
      </c>
      <c r="K10" s="58">
        <f t="array" ref="K10">INDEX(Scenarios!$E$5:$E$15,MATCH(K$4,Scenarios!$A$5:$A$15,0))</f>
        <v>1</v>
      </c>
      <c r="L10" s="58">
        <f t="array" ref="L10">INDEX(Scenarios!$E$5:$E$15,MATCH(L$4,Scenarios!$A$5:$A$15,0))</f>
        <v>1</v>
      </c>
      <c r="M10" s="58">
        <f t="array" ref="M10">INDEX(Scenarios!$E$5:$E$15,MATCH(M$4,Scenarios!$A$5:$A$15,0))</f>
        <v>1</v>
      </c>
      <c r="N10" s="58">
        <f t="array" ref="N10">INDEX(Scenarios!$E$5:$E$15,MATCH(N$4,Scenarios!$A$5:$A$15,0))</f>
        <v>1</v>
      </c>
      <c r="O10" s="58">
        <f t="array" ref="O10">INDEX(Scenarios!$E$5:$E$15,MATCH(O$4,Scenarios!$A$5:$A$15,0))</f>
        <v>1</v>
      </c>
      <c r="P10" s="58">
        <f t="array" ref="P10">INDEX(Scenarios!$E$5:$E$15,MATCH(P$4,Scenarios!$A$5:$A$15,0))</f>
        <v>1</v>
      </c>
      <c r="Q10" s="58">
        <f t="array" ref="Q10">INDEX(Scenarios!$E$5:$E$15,MATCH(Q$4,Scenarios!$A$5:$A$15,0))</f>
        <v>1</v>
      </c>
      <c r="R10" s="58">
        <f t="array" ref="R10">INDEX(Scenarios!$E$5:$E$15,MATCH(R$4,Scenarios!$A$5:$A$15,0))</f>
        <v>1</v>
      </c>
      <c r="S10" s="58">
        <f t="array" ref="S10">INDEX(Scenarios!$E$5:$E$15,MATCH(S$4,Scenarios!$A$5:$A$15,0))</f>
        <v>1</v>
      </c>
      <c r="T10" s="58">
        <f t="array" ref="T10">INDEX(Scenarios!$E$5:$E$15,MATCH(T$4,Scenarios!$A$5:$A$15,0))</f>
        <v>1</v>
      </c>
      <c r="U10" s="58">
        <f t="array" ref="U10">INDEX(Scenarios!$E$5:$E$15,MATCH(U$4,Scenarios!$A$5:$A$15,0))</f>
        <v>1.15</v>
      </c>
      <c r="V10" s="58">
        <f t="array" ref="V10">INDEX(Scenarios!$E$5:$E$15,MATCH(V$4,Scenarios!$A$5:$A$15,0))</f>
        <v>1.15</v>
      </c>
      <c r="W10" s="58">
        <f t="array" ref="W10">INDEX(Scenarios!$E$5:$E$15,MATCH(W$4,Scenarios!$A$5:$A$15,0))</f>
        <v>1.15</v>
      </c>
      <c r="X10" s="58">
        <f t="array" ref="X10">INDEX(Scenarios!$E$5:$E$15,MATCH(X$4,Scenarios!$A$5:$A$15,0))</f>
        <v>1</v>
      </c>
      <c r="Y10" s="58">
        <f t="array" ref="Y10">INDEX(Scenarios!$E$5:$E$15,MATCH(Y$4,Scenarios!$A$5:$A$15,0))</f>
        <v>1</v>
      </c>
      <c r="Z10" s="58">
        <f t="array" ref="Z10">INDEX(Scenarios!$E$5:$E$15,MATCH(Z$4,Scenarios!$A$5:$A$15,0))</f>
        <v>1</v>
      </c>
      <c r="AA10" s="58">
        <f t="array" ref="AA10">INDEX(Scenarios!$E$5:$E$15,MATCH(AA$4,Scenarios!$A$5:$A$15,0))</f>
        <v>1</v>
      </c>
      <c r="AB10" s="58">
        <f t="array" ref="AB10">INDEX(Scenarios!$E$5:$E$15,MATCH(AB$4,Scenarios!$A$5:$A$15,0))</f>
        <v>1</v>
      </c>
      <c r="AC10" s="58">
        <f t="array" ref="AC10">INDEX(Scenarios!$E$5:$E$15,MATCH(AC$4,Scenarios!$A$5:$A$15,0))</f>
        <v>1</v>
      </c>
      <c r="AD10" s="58">
        <f t="array" ref="AD10">INDEX(Scenarios!$E$5:$E$15,MATCH(AD$4,Scenarios!$A$5:$A$15,0))</f>
        <v>1.15</v>
      </c>
      <c r="AE10" s="58">
        <f t="array" ref="AE10">INDEX(Scenarios!$E$5:$E$15,MATCH(AE$4,Scenarios!$A$5:$A$15,0))</f>
        <v>1.15</v>
      </c>
      <c r="AF10" s="58">
        <f t="array" ref="AF10">INDEX(Scenarios!$E$5:$E$15,MATCH(AF$4,Scenarios!$A$5:$A$15,0))</f>
        <v>1.15</v>
      </c>
      <c r="AG10" s="58">
        <f t="array" ref="AG10">INDEX(Scenarios!$E$5:$E$15,MATCH(AG$4,Scenarios!$A$5:$A$15,0))</f>
        <v>1</v>
      </c>
      <c r="AH10" s="58">
        <f t="array" ref="AH10">INDEX(Scenarios!$E$5:$E$15,MATCH(AH$4,Scenarios!$A$5:$A$15,0))</f>
        <v>1</v>
      </c>
      <c r="AI10" s="58">
        <f t="array" ref="AI10">INDEX(Scenarios!$E$5:$E$15,MATCH(AI$4,Scenarios!$A$5:$A$15,0))</f>
        <v>1</v>
      </c>
    </row>
    <row r="11">
      <c r="A11" s="51" t="s">
        <v>24</v>
      </c>
      <c r="B11" s="3" t="s">
        <v>246</v>
      </c>
      <c r="C11" s="58">
        <f t="array" ref="C11">INDEX(Scenarios!$F$5:$F$15,MATCH(C$4,Scenarios!$A$5:$A$15,0))</f>
        <v>1</v>
      </c>
      <c r="D11" s="58">
        <f t="array" ref="D11">INDEX(Scenarios!$F$5:$F$15,MATCH(D$4,Scenarios!$A$5:$A$15,0))</f>
        <v>1</v>
      </c>
      <c r="E11" s="58">
        <f t="array" ref="E11">INDEX(Scenarios!$F$5:$F$15,MATCH(E$4,Scenarios!$A$5:$A$15,0))</f>
        <v>1</v>
      </c>
      <c r="F11" s="58">
        <f t="array" ref="F11">INDEX(Scenarios!$F$5:$F$15,MATCH(F$4,Scenarios!$A$5:$A$15,0))</f>
        <v>1</v>
      </c>
      <c r="G11" s="58">
        <f t="array" ref="G11">INDEX(Scenarios!$F$5:$F$15,MATCH(G$4,Scenarios!$A$5:$A$15,0))</f>
        <v>1</v>
      </c>
      <c r="H11" s="58">
        <f t="array" ref="H11">INDEX(Scenarios!$F$5:$F$15,MATCH(H$4,Scenarios!$A$5:$A$15,0))</f>
        <v>1</v>
      </c>
      <c r="I11" s="58">
        <f t="array" ref="I11">INDEX(Scenarios!$F$5:$F$15,MATCH(I$4,Scenarios!$A$5:$A$15,0))</f>
        <v>1</v>
      </c>
      <c r="J11" s="58">
        <f t="array" ref="J11">INDEX(Scenarios!$F$5:$F$15,MATCH(J$4,Scenarios!$A$5:$A$15,0))</f>
        <v>1</v>
      </c>
      <c r="K11" s="58">
        <f t="array" ref="K11">INDEX(Scenarios!$F$5:$F$15,MATCH(K$4,Scenarios!$A$5:$A$15,0))</f>
        <v>1</v>
      </c>
      <c r="L11" s="58">
        <f t="array" ref="L11">INDEX(Scenarios!$F$5:$F$15,MATCH(L$4,Scenarios!$A$5:$A$15,0))</f>
        <v>1</v>
      </c>
      <c r="M11" s="58">
        <f t="array" ref="M11">INDEX(Scenarios!$F$5:$F$15,MATCH(M$4,Scenarios!$A$5:$A$15,0))</f>
        <v>1</v>
      </c>
      <c r="N11" s="58">
        <f t="array" ref="N11">INDEX(Scenarios!$F$5:$F$15,MATCH(N$4,Scenarios!$A$5:$A$15,0))</f>
        <v>1</v>
      </c>
      <c r="O11" s="58">
        <f t="array" ref="O11">INDEX(Scenarios!$F$5:$F$15,MATCH(O$4,Scenarios!$A$5:$A$15,0))</f>
        <v>1</v>
      </c>
      <c r="P11" s="58">
        <f t="array" ref="P11">INDEX(Scenarios!$F$5:$F$15,MATCH(P$4,Scenarios!$A$5:$A$15,0))</f>
        <v>1</v>
      </c>
      <c r="Q11" s="58">
        <f t="array" ref="Q11">INDEX(Scenarios!$F$5:$F$15,MATCH(Q$4,Scenarios!$A$5:$A$15,0))</f>
        <v>1</v>
      </c>
      <c r="R11" s="58">
        <f t="array" ref="R11">INDEX(Scenarios!$F$5:$F$15,MATCH(R$4,Scenarios!$A$5:$A$15,0))</f>
        <v>1</v>
      </c>
      <c r="S11" s="58">
        <f t="array" ref="S11">INDEX(Scenarios!$F$5:$F$15,MATCH(S$4,Scenarios!$A$5:$A$15,0))</f>
        <v>1</v>
      </c>
      <c r="T11" s="58">
        <f t="array" ref="T11">INDEX(Scenarios!$F$5:$F$15,MATCH(T$4,Scenarios!$A$5:$A$15,0))</f>
        <v>1</v>
      </c>
      <c r="U11" s="58">
        <f t="array" ref="U11">INDEX(Scenarios!$F$5:$F$15,MATCH(U$4,Scenarios!$A$5:$A$15,0))</f>
        <v>1</v>
      </c>
      <c r="V11" s="58">
        <f t="array" ref="V11">INDEX(Scenarios!$F$5:$F$15,MATCH(V$4,Scenarios!$A$5:$A$15,0))</f>
        <v>1</v>
      </c>
      <c r="W11" s="58">
        <f t="array" ref="W11">INDEX(Scenarios!$F$5:$F$15,MATCH(W$4,Scenarios!$A$5:$A$15,0))</f>
        <v>1</v>
      </c>
      <c r="X11" s="58">
        <f t="array" ref="X11">INDEX(Scenarios!$F$5:$F$15,MATCH(X$4,Scenarios!$A$5:$A$15,0))</f>
        <v>0</v>
      </c>
      <c r="Y11" s="58">
        <f t="array" ref="Y11">INDEX(Scenarios!$F$5:$F$15,MATCH(Y$4,Scenarios!$A$5:$A$15,0))</f>
        <v>0</v>
      </c>
      <c r="Z11" s="58">
        <f t="array" ref="Z11">INDEX(Scenarios!$F$5:$F$15,MATCH(Z$4,Scenarios!$A$5:$A$15,0))</f>
        <v>0</v>
      </c>
      <c r="AA11" s="58">
        <f t="array" ref="AA11">INDEX(Scenarios!$F$5:$F$15,MATCH(AA$4,Scenarios!$A$5:$A$15,0))</f>
        <v>1</v>
      </c>
      <c r="AB11" s="58">
        <f t="array" ref="AB11">INDEX(Scenarios!$F$5:$F$15,MATCH(AB$4,Scenarios!$A$5:$A$15,0))</f>
        <v>1</v>
      </c>
      <c r="AC11" s="58">
        <f t="array" ref="AC11">INDEX(Scenarios!$F$5:$F$15,MATCH(AC$4,Scenarios!$A$5:$A$15,0))</f>
        <v>1</v>
      </c>
      <c r="AD11" s="58">
        <f t="array" ref="AD11">INDEX(Scenarios!$F$5:$F$15,MATCH(AD$4,Scenarios!$A$5:$A$15,0))</f>
        <v>1</v>
      </c>
      <c r="AE11" s="58">
        <f t="array" ref="AE11">INDEX(Scenarios!$F$5:$F$15,MATCH(AE$4,Scenarios!$A$5:$A$15,0))</f>
        <v>1</v>
      </c>
      <c r="AF11" s="58">
        <f t="array" ref="AF11">INDEX(Scenarios!$F$5:$F$15,MATCH(AF$4,Scenarios!$A$5:$A$15,0))</f>
        <v>1</v>
      </c>
      <c r="AG11" s="58">
        <f t="array" ref="AG11">INDEX(Scenarios!$F$5:$F$15,MATCH(AG$4,Scenarios!$A$5:$A$15,0))</f>
        <v>0</v>
      </c>
      <c r="AH11" s="58">
        <f t="array" ref="AH11">INDEX(Scenarios!$F$5:$F$15,MATCH(AH$4,Scenarios!$A$5:$A$15,0))</f>
        <v>0</v>
      </c>
      <c r="AI11" s="58">
        <f t="array" ref="AI11">INDEX(Scenarios!$F$5:$F$15,MATCH(AI$4,Scenarios!$A$5:$A$15,0))</f>
        <v>0</v>
      </c>
    </row>
    <row r="12">
      <c r="A12" s="51" t="s">
        <v>247</v>
      </c>
      <c r="B12" s="3" t="s">
        <v>245</v>
      </c>
      <c r="C12" s="57">
        <f t="array" ref="C12">INDEX(Scenarios!$G$5:$G$15,MATCH(C$4,Scenarios!$A$5:$A$15,0))</f>
        <v>0</v>
      </c>
      <c r="D12" s="57">
        <f t="array" ref="D12">INDEX(Scenarios!$G$5:$G$15,MATCH(D$4,Scenarios!$A$5:$A$15,0))</f>
        <v>0</v>
      </c>
      <c r="E12" s="57">
        <f t="array" ref="E12">INDEX(Scenarios!$G$5:$G$15,MATCH(E$4,Scenarios!$A$5:$A$15,0))</f>
        <v>0</v>
      </c>
      <c r="F12" s="57">
        <f t="array" ref="F12">INDEX(Scenarios!$G$5:$G$15,MATCH(F$4,Scenarios!$A$5:$A$15,0))</f>
        <v>0</v>
      </c>
      <c r="G12" s="57">
        <f t="array" ref="G12">INDEX(Scenarios!$G$5:$G$15,MATCH(G$4,Scenarios!$A$5:$A$15,0))</f>
        <v>0</v>
      </c>
      <c r="H12" s="57">
        <f t="array" ref="H12">INDEX(Scenarios!$G$5:$G$15,MATCH(H$4,Scenarios!$A$5:$A$15,0))</f>
        <v>0</v>
      </c>
      <c r="I12" s="57">
        <f t="array" ref="I12">INDEX(Scenarios!$G$5:$G$15,MATCH(I$4,Scenarios!$A$5:$A$15,0))</f>
        <v>0</v>
      </c>
      <c r="J12" s="57">
        <f t="array" ref="J12">INDEX(Scenarios!$G$5:$G$15,MATCH(J$4,Scenarios!$A$5:$A$15,0))</f>
        <v>0</v>
      </c>
      <c r="K12" s="57">
        <f t="array" ref="K12">INDEX(Scenarios!$G$5:$G$15,MATCH(K$4,Scenarios!$A$5:$A$15,0))</f>
        <v>0</v>
      </c>
      <c r="L12" s="57">
        <f t="array" ref="L12">INDEX(Scenarios!$G$5:$G$15,MATCH(L$4,Scenarios!$A$5:$A$15,0))</f>
        <v>0</v>
      </c>
      <c r="M12" s="57">
        <f t="array" ref="M12">INDEX(Scenarios!$G$5:$G$15,MATCH(M$4,Scenarios!$A$5:$A$15,0))</f>
        <v>0</v>
      </c>
      <c r="N12" s="57">
        <f t="array" ref="N12">INDEX(Scenarios!$G$5:$G$15,MATCH(N$4,Scenarios!$A$5:$A$15,0))</f>
        <v>0</v>
      </c>
      <c r="O12" s="57">
        <f t="array" ref="O12">INDEX(Scenarios!$G$5:$G$15,MATCH(O$4,Scenarios!$A$5:$A$15,0))</f>
        <v>0</v>
      </c>
      <c r="P12" s="57">
        <f t="array" ref="P12">INDEX(Scenarios!$G$5:$G$15,MATCH(P$4,Scenarios!$A$5:$A$15,0))</f>
        <v>0</v>
      </c>
      <c r="Q12" s="57">
        <f t="array" ref="Q12">INDEX(Scenarios!$G$5:$G$15,MATCH(Q$4,Scenarios!$A$5:$A$15,0))</f>
        <v>0</v>
      </c>
      <c r="R12" s="57">
        <f t="array" ref="R12">INDEX(Scenarios!$G$5:$G$15,MATCH(R$4,Scenarios!$A$5:$A$15,0))</f>
        <v>0</v>
      </c>
      <c r="S12" s="57">
        <f t="array" ref="S12">INDEX(Scenarios!$G$5:$G$15,MATCH(S$4,Scenarios!$A$5:$A$15,0))</f>
        <v>0</v>
      </c>
      <c r="T12" s="57">
        <f t="array" ref="T12">INDEX(Scenarios!$G$5:$G$15,MATCH(T$4,Scenarios!$A$5:$A$15,0))</f>
        <v>0</v>
      </c>
      <c r="U12" s="57">
        <f t="array" ref="U12">INDEX(Scenarios!$G$5:$G$15,MATCH(U$4,Scenarios!$A$5:$A$15,0))</f>
        <v>0</v>
      </c>
      <c r="V12" s="57">
        <f t="array" ref="V12">INDEX(Scenarios!$G$5:$G$15,MATCH(V$4,Scenarios!$A$5:$A$15,0))</f>
        <v>0</v>
      </c>
      <c r="W12" s="57">
        <f t="array" ref="W12">INDEX(Scenarios!$G$5:$G$15,MATCH(W$4,Scenarios!$A$5:$A$15,0))</f>
        <v>0</v>
      </c>
      <c r="X12" s="57">
        <f t="array" ref="X12">INDEX(Scenarios!$G$5:$G$15,MATCH(X$4,Scenarios!$A$5:$A$15,0))</f>
        <v>0</v>
      </c>
      <c r="Y12" s="57">
        <f t="array" ref="Y12">INDEX(Scenarios!$G$5:$G$15,MATCH(Y$4,Scenarios!$A$5:$A$15,0))</f>
        <v>0</v>
      </c>
      <c r="Z12" s="57">
        <f t="array" ref="Z12">INDEX(Scenarios!$G$5:$G$15,MATCH(Z$4,Scenarios!$A$5:$A$15,0))</f>
        <v>0</v>
      </c>
      <c r="AA12" s="57">
        <f t="array" ref="AA12">INDEX(Scenarios!$G$5:$G$15,MATCH(AA$4,Scenarios!$A$5:$A$15,0))</f>
        <v>-0.04</v>
      </c>
      <c r="AB12" s="57">
        <f t="array" ref="AB12">INDEX(Scenarios!$G$5:$G$15,MATCH(AB$4,Scenarios!$A$5:$A$15,0))</f>
        <v>-0.04</v>
      </c>
      <c r="AC12" s="57">
        <f t="array" ref="AC12">INDEX(Scenarios!$G$5:$G$15,MATCH(AC$4,Scenarios!$A$5:$A$15,0))</f>
        <v>-0.04</v>
      </c>
      <c r="AD12" s="57">
        <f t="array" ref="AD12">INDEX(Scenarios!$G$5:$G$15,MATCH(AD$4,Scenarios!$A$5:$A$15,0))</f>
        <v>0</v>
      </c>
      <c r="AE12" s="57">
        <f t="array" ref="AE12">INDEX(Scenarios!$G$5:$G$15,MATCH(AE$4,Scenarios!$A$5:$A$15,0))</f>
        <v>0</v>
      </c>
      <c r="AF12" s="57">
        <f t="array" ref="AF12">INDEX(Scenarios!$G$5:$G$15,MATCH(AF$4,Scenarios!$A$5:$A$15,0))</f>
        <v>0</v>
      </c>
      <c r="AG12" s="57">
        <f t="array" ref="AG12">INDEX(Scenarios!$G$5:$G$15,MATCH(AG$4,Scenarios!$A$5:$A$15,0))</f>
        <v>-0.04</v>
      </c>
      <c r="AH12" s="57">
        <f t="array" ref="AH12">INDEX(Scenarios!$G$5:$G$15,MATCH(AH$4,Scenarios!$A$5:$A$15,0))</f>
        <v>-0.04</v>
      </c>
      <c r="AI12" s="57">
        <f t="array" ref="AI12">INDEX(Scenarios!$G$5:$G$15,MATCH(AI$4,Scenarios!$A$5:$A$15,0))</f>
        <v>-0.04</v>
      </c>
    </row>
    <row r="13">
      <c r="A13" s="51" t="s">
        <v>248</v>
      </c>
      <c r="B13" s="3"/>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c r="A14" s="51" t="s">
        <v>249</v>
      </c>
      <c r="B14" s="3" t="s">
        <v>70</v>
      </c>
      <c r="C14" s="59">
        <f t="array" ref="C14">INDEX(Inputs!$C$19:$E$19,MATCH(C$5,Inputs!$C$18:$E$18,0))</f>
        <v>0</v>
      </c>
      <c r="D14" s="59">
        <f t="array" ref="D14">INDEX(Inputs!$C$19:$E$19,MATCH(D$5,Inputs!$C$18:$E$18,0))</f>
        <v>1</v>
      </c>
      <c r="E14" s="59">
        <f t="array" ref="E14">INDEX(Inputs!$C$19:$E$19,MATCH(E$5,Inputs!$C$18:$E$18,0))</f>
        <v>1</v>
      </c>
      <c r="F14" s="59">
        <f t="array" ref="F14">INDEX(Inputs!$C$19:$E$19,MATCH(F$5,Inputs!$C$18:$E$18,0))</f>
        <v>0</v>
      </c>
      <c r="G14" s="59">
        <f t="array" ref="G14">INDEX(Inputs!$C$19:$E$19,MATCH(G$5,Inputs!$C$18:$E$18,0))</f>
        <v>1</v>
      </c>
      <c r="H14" s="59">
        <f t="array" ref="H14">INDEX(Inputs!$C$19:$E$19,MATCH(H$5,Inputs!$C$18:$E$18,0))</f>
        <v>1</v>
      </c>
      <c r="I14" s="59">
        <f t="array" ref="I14">INDEX(Inputs!$C$19:$E$19,MATCH(I$5,Inputs!$C$18:$E$18,0))</f>
        <v>0</v>
      </c>
      <c r="J14" s="59">
        <f t="array" ref="J14">INDEX(Inputs!$C$19:$E$19,MATCH(J$5,Inputs!$C$18:$E$18,0))</f>
        <v>1</v>
      </c>
      <c r="K14" s="59">
        <f t="array" ref="K14">INDEX(Inputs!$C$19:$E$19,MATCH(K$5,Inputs!$C$18:$E$18,0))</f>
        <v>1</v>
      </c>
      <c r="L14" s="59">
        <f t="array" ref="L14">INDEX(Inputs!$C$19:$E$19,MATCH(L$5,Inputs!$C$18:$E$18,0))</f>
        <v>0</v>
      </c>
      <c r="M14" s="59">
        <f t="array" ref="M14">INDEX(Inputs!$C$19:$E$19,MATCH(M$5,Inputs!$C$18:$E$18,0))</f>
        <v>1</v>
      </c>
      <c r="N14" s="59">
        <f t="array" ref="N14">INDEX(Inputs!$C$19:$E$19,MATCH(N$5,Inputs!$C$18:$E$18,0))</f>
        <v>1</v>
      </c>
      <c r="O14" s="59">
        <f t="array" ref="O14">INDEX(Inputs!$C$19:$E$19,MATCH(O$5,Inputs!$C$18:$E$18,0))</f>
        <v>0</v>
      </c>
      <c r="P14" s="59">
        <f t="array" ref="P14">INDEX(Inputs!$C$19:$E$19,MATCH(P$5,Inputs!$C$18:$E$18,0))</f>
        <v>1</v>
      </c>
      <c r="Q14" s="59">
        <f t="array" ref="Q14">INDEX(Inputs!$C$19:$E$19,MATCH(Q$5,Inputs!$C$18:$E$18,0))</f>
        <v>1</v>
      </c>
      <c r="R14" s="59">
        <f t="array" ref="R14">INDEX(Inputs!$C$19:$E$19,MATCH(R$5,Inputs!$C$18:$E$18,0))</f>
        <v>0</v>
      </c>
      <c r="S14" s="59">
        <f t="array" ref="S14">INDEX(Inputs!$C$19:$E$19,MATCH(S$5,Inputs!$C$18:$E$18,0))</f>
        <v>1</v>
      </c>
      <c r="T14" s="59">
        <f t="array" ref="T14">INDEX(Inputs!$C$19:$E$19,MATCH(T$5,Inputs!$C$18:$E$18,0))</f>
        <v>1</v>
      </c>
      <c r="U14" s="59">
        <f t="array" ref="U14">INDEX(Inputs!$C$19:$E$19,MATCH(U$5,Inputs!$C$18:$E$18,0))</f>
        <v>0</v>
      </c>
      <c r="V14" s="59">
        <f t="array" ref="V14">INDEX(Inputs!$C$19:$E$19,MATCH(V$5,Inputs!$C$18:$E$18,0))</f>
        <v>1</v>
      </c>
      <c r="W14" s="59">
        <f t="array" ref="W14">INDEX(Inputs!$C$19:$E$19,MATCH(W$5,Inputs!$C$18:$E$18,0))</f>
        <v>1</v>
      </c>
      <c r="X14" s="59">
        <f t="array" ref="X14">INDEX(Inputs!$C$19:$E$19,MATCH(X$5,Inputs!$C$18:$E$18,0))</f>
        <v>0</v>
      </c>
      <c r="Y14" s="59">
        <f t="array" ref="Y14">INDEX(Inputs!$C$19:$E$19,MATCH(Y$5,Inputs!$C$18:$E$18,0))</f>
        <v>1</v>
      </c>
      <c r="Z14" s="59">
        <f t="array" ref="Z14">INDEX(Inputs!$C$19:$E$19,MATCH(Z$5,Inputs!$C$18:$E$18,0))</f>
        <v>1</v>
      </c>
      <c r="AA14" s="59">
        <f t="array" ref="AA14">INDEX(Inputs!$C$19:$E$19,MATCH(AA$5,Inputs!$C$18:$E$18,0))</f>
        <v>0</v>
      </c>
      <c r="AB14" s="59">
        <f t="array" ref="AB14">INDEX(Inputs!$C$19:$E$19,MATCH(AB$5,Inputs!$C$18:$E$18,0))</f>
        <v>1</v>
      </c>
      <c r="AC14" s="59">
        <f t="array" ref="AC14">INDEX(Inputs!$C$19:$E$19,MATCH(AC$5,Inputs!$C$18:$E$18,0))</f>
        <v>1</v>
      </c>
      <c r="AD14" s="59">
        <f t="array" ref="AD14">INDEX(Inputs!$C$19:$E$19,MATCH(AD$5,Inputs!$C$18:$E$18,0))</f>
        <v>0</v>
      </c>
      <c r="AE14" s="59">
        <f t="array" ref="AE14">INDEX(Inputs!$C$19:$E$19,MATCH(AE$5,Inputs!$C$18:$E$18,0))</f>
        <v>1</v>
      </c>
      <c r="AF14" s="59">
        <f t="array" ref="AF14">INDEX(Inputs!$C$19:$E$19,MATCH(AF$5,Inputs!$C$18:$E$18,0))</f>
        <v>1</v>
      </c>
      <c r="AG14" s="59">
        <f t="array" ref="AG14">INDEX(Inputs!$C$19:$E$19,MATCH(AG$5,Inputs!$C$18:$E$18,0))</f>
        <v>0</v>
      </c>
      <c r="AH14" s="59">
        <f t="array" ref="AH14">INDEX(Inputs!$C$19:$E$19,MATCH(AH$5,Inputs!$C$18:$E$18,0))</f>
        <v>1</v>
      </c>
      <c r="AI14" s="59">
        <f t="array" ref="AI14">INDEX(Inputs!$C$19:$E$19,MATCH(AI$5,Inputs!$C$18:$E$18,0))</f>
        <v>1</v>
      </c>
    </row>
    <row r="15">
      <c r="A15" s="51" t="s">
        <v>286</v>
      </c>
      <c r="B15" s="3" t="s">
        <v>35</v>
      </c>
      <c r="C15" s="59">
        <f t="array" ref="C15">INDEX(Inputs!$C$20:$E$20,MATCH(C$5,Inputs!$C$18:$E$18,0))</f>
        <v>520</v>
      </c>
      <c r="D15" s="59">
        <f t="array" ref="D15">INDEX(Inputs!$C$20:$E$20,MATCH(D$5,Inputs!$C$18:$E$18,0))</f>
        <v>330</v>
      </c>
      <c r="E15" s="59">
        <f t="array" ref="E15">INDEX(Inputs!$C$20:$E$20,MATCH(E$5,Inputs!$C$18:$E$18,0))</f>
        <v>450</v>
      </c>
      <c r="F15" s="59">
        <f t="array" ref="F15">INDEX(Inputs!$C$20:$E$20,MATCH(F$5,Inputs!$C$18:$E$18,0))</f>
        <v>520</v>
      </c>
      <c r="G15" s="59">
        <f t="array" ref="G15">INDEX(Inputs!$C$20:$E$20,MATCH(G$5,Inputs!$C$18:$E$18,0))</f>
        <v>330</v>
      </c>
      <c r="H15" s="59">
        <f t="array" ref="H15">INDEX(Inputs!$C$20:$E$20,MATCH(H$5,Inputs!$C$18:$E$18,0))</f>
        <v>450</v>
      </c>
      <c r="I15" s="59">
        <f t="array" ref="I15">INDEX(Inputs!$C$20:$E$20,MATCH(I$5,Inputs!$C$18:$E$18,0))</f>
        <v>520</v>
      </c>
      <c r="J15" s="59">
        <f t="array" ref="J15">INDEX(Inputs!$C$20:$E$20,MATCH(J$5,Inputs!$C$18:$E$18,0))</f>
        <v>330</v>
      </c>
      <c r="K15" s="59">
        <f t="array" ref="K15">INDEX(Inputs!$C$20:$E$20,MATCH(K$5,Inputs!$C$18:$E$18,0))</f>
        <v>450</v>
      </c>
      <c r="L15" s="59">
        <f t="array" ref="L15">INDEX(Inputs!$C$20:$E$20,MATCH(L$5,Inputs!$C$18:$E$18,0))</f>
        <v>520</v>
      </c>
      <c r="M15" s="59">
        <f t="array" ref="M15">INDEX(Inputs!$C$20:$E$20,MATCH(M$5,Inputs!$C$18:$E$18,0))</f>
        <v>330</v>
      </c>
      <c r="N15" s="59">
        <f t="array" ref="N15">INDEX(Inputs!$C$20:$E$20,MATCH(N$5,Inputs!$C$18:$E$18,0))</f>
        <v>450</v>
      </c>
      <c r="O15" s="59">
        <f t="array" ref="O15">INDEX(Inputs!$C$20:$E$20,MATCH(O$5,Inputs!$C$18:$E$18,0))</f>
        <v>520</v>
      </c>
      <c r="P15" s="59">
        <f t="array" ref="P15">INDEX(Inputs!$C$20:$E$20,MATCH(P$5,Inputs!$C$18:$E$18,0))</f>
        <v>330</v>
      </c>
      <c r="Q15" s="59">
        <f t="array" ref="Q15">INDEX(Inputs!$C$20:$E$20,MATCH(Q$5,Inputs!$C$18:$E$18,0))</f>
        <v>450</v>
      </c>
      <c r="R15" s="59">
        <f t="array" ref="R15">INDEX(Inputs!$C$20:$E$20,MATCH(R$5,Inputs!$C$18:$E$18,0))</f>
        <v>520</v>
      </c>
      <c r="S15" s="59">
        <f t="array" ref="S15">INDEX(Inputs!$C$20:$E$20,MATCH(S$5,Inputs!$C$18:$E$18,0))</f>
        <v>330</v>
      </c>
      <c r="T15" s="59">
        <f t="array" ref="T15">INDEX(Inputs!$C$20:$E$20,MATCH(T$5,Inputs!$C$18:$E$18,0))</f>
        <v>450</v>
      </c>
      <c r="U15" s="59">
        <f t="array" ref="U15">INDEX(Inputs!$C$20:$E$20,MATCH(U$5,Inputs!$C$18:$E$18,0))</f>
        <v>520</v>
      </c>
      <c r="V15" s="59">
        <f t="array" ref="V15">INDEX(Inputs!$C$20:$E$20,MATCH(V$5,Inputs!$C$18:$E$18,0))</f>
        <v>330</v>
      </c>
      <c r="W15" s="59">
        <f t="array" ref="W15">INDEX(Inputs!$C$20:$E$20,MATCH(W$5,Inputs!$C$18:$E$18,0))</f>
        <v>450</v>
      </c>
      <c r="X15" s="59">
        <f t="array" ref="X15">INDEX(Inputs!$C$20:$E$20,MATCH(X$5,Inputs!$C$18:$E$18,0))</f>
        <v>520</v>
      </c>
      <c r="Y15" s="59">
        <f t="array" ref="Y15">INDEX(Inputs!$C$20:$E$20,MATCH(Y$5,Inputs!$C$18:$E$18,0))</f>
        <v>330</v>
      </c>
      <c r="Z15" s="59">
        <f t="array" ref="Z15">INDEX(Inputs!$C$20:$E$20,MATCH(Z$5,Inputs!$C$18:$E$18,0))</f>
        <v>450</v>
      </c>
      <c r="AA15" s="59">
        <f t="array" ref="AA15">INDEX(Inputs!$C$20:$E$20,MATCH(AA$5,Inputs!$C$18:$E$18,0))</f>
        <v>520</v>
      </c>
      <c r="AB15" s="59">
        <f t="array" ref="AB15">INDEX(Inputs!$C$20:$E$20,MATCH(AB$5,Inputs!$C$18:$E$18,0))</f>
        <v>330</v>
      </c>
      <c r="AC15" s="59">
        <f t="array" ref="AC15">INDEX(Inputs!$C$20:$E$20,MATCH(AC$5,Inputs!$C$18:$E$18,0))</f>
        <v>450</v>
      </c>
      <c r="AD15" s="59">
        <f t="array" ref="AD15">INDEX(Inputs!$C$20:$E$20,MATCH(AD$5,Inputs!$C$18:$E$18,0))</f>
        <v>520</v>
      </c>
      <c r="AE15" s="59">
        <f t="array" ref="AE15">INDEX(Inputs!$C$20:$E$20,MATCH(AE$5,Inputs!$C$18:$E$18,0))</f>
        <v>330</v>
      </c>
      <c r="AF15" s="59">
        <f t="array" ref="AF15">INDEX(Inputs!$C$20:$E$20,MATCH(AF$5,Inputs!$C$18:$E$18,0))</f>
        <v>450</v>
      </c>
      <c r="AG15" s="59">
        <f t="array" ref="AG15">INDEX(Inputs!$C$20:$E$20,MATCH(AG$5,Inputs!$C$18:$E$18,0))</f>
        <v>520</v>
      </c>
      <c r="AH15" s="59">
        <f t="array" ref="AH15">INDEX(Inputs!$C$20:$E$20,MATCH(AH$5,Inputs!$C$18:$E$18,0))</f>
        <v>330</v>
      </c>
      <c r="AI15" s="59">
        <f t="array" ref="AI15">INDEX(Inputs!$C$20:$E$20,MATCH(AI$5,Inputs!$C$18:$E$18,0))</f>
        <v>450</v>
      </c>
    </row>
    <row r="16">
      <c r="A16" s="51" t="s">
        <v>78</v>
      </c>
      <c r="B16" s="3" t="s">
        <v>287</v>
      </c>
      <c r="C16" s="61">
        <f t="array" ref="C16">INDEX(Inputs!$C$21:$E$21,MATCH(C$5,Inputs!$C$18:$E$18,0))</f>
        <v>9</v>
      </c>
      <c r="D16" s="61">
        <f t="array" ref="D16">INDEX(Inputs!$C$21:$E$21,MATCH(D$5,Inputs!$C$18:$E$18,0))</f>
        <v>8</v>
      </c>
      <c r="E16" s="61">
        <f t="array" ref="E16">INDEX(Inputs!$C$21:$E$21,MATCH(E$5,Inputs!$C$18:$E$18,0))</f>
        <v>8.8</v>
      </c>
      <c r="F16" s="61">
        <f t="array" ref="F16">INDEX(Inputs!$C$21:$E$21,MATCH(F$5,Inputs!$C$18:$E$18,0))</f>
        <v>9</v>
      </c>
      <c r="G16" s="61">
        <f t="array" ref="G16">INDEX(Inputs!$C$21:$E$21,MATCH(G$5,Inputs!$C$18:$E$18,0))</f>
        <v>8</v>
      </c>
      <c r="H16" s="61">
        <f t="array" ref="H16">INDEX(Inputs!$C$21:$E$21,MATCH(H$5,Inputs!$C$18:$E$18,0))</f>
        <v>8.8</v>
      </c>
      <c r="I16" s="61">
        <f t="array" ref="I16">INDEX(Inputs!$C$21:$E$21,MATCH(I$5,Inputs!$C$18:$E$18,0))</f>
        <v>9</v>
      </c>
      <c r="J16" s="61">
        <f t="array" ref="J16">INDEX(Inputs!$C$21:$E$21,MATCH(J$5,Inputs!$C$18:$E$18,0))</f>
        <v>8</v>
      </c>
      <c r="K16" s="61">
        <f t="array" ref="K16">INDEX(Inputs!$C$21:$E$21,MATCH(K$5,Inputs!$C$18:$E$18,0))</f>
        <v>8.8</v>
      </c>
      <c r="L16" s="61">
        <f t="array" ref="L16">INDEX(Inputs!$C$21:$E$21,MATCH(L$5,Inputs!$C$18:$E$18,0))</f>
        <v>9</v>
      </c>
      <c r="M16" s="61">
        <f t="array" ref="M16">INDEX(Inputs!$C$21:$E$21,MATCH(M$5,Inputs!$C$18:$E$18,0))</f>
        <v>8</v>
      </c>
      <c r="N16" s="61">
        <f t="array" ref="N16">INDEX(Inputs!$C$21:$E$21,MATCH(N$5,Inputs!$C$18:$E$18,0))</f>
        <v>8.8</v>
      </c>
      <c r="O16" s="61">
        <f t="array" ref="O16">INDEX(Inputs!$C$21:$E$21,MATCH(O$5,Inputs!$C$18:$E$18,0))</f>
        <v>9</v>
      </c>
      <c r="P16" s="61">
        <f t="array" ref="P16">INDEX(Inputs!$C$21:$E$21,MATCH(P$5,Inputs!$C$18:$E$18,0))</f>
        <v>8</v>
      </c>
      <c r="Q16" s="61">
        <f t="array" ref="Q16">INDEX(Inputs!$C$21:$E$21,MATCH(Q$5,Inputs!$C$18:$E$18,0))</f>
        <v>8.8</v>
      </c>
      <c r="R16" s="61">
        <f t="array" ref="R16">INDEX(Inputs!$C$21:$E$21,MATCH(R$5,Inputs!$C$18:$E$18,0))</f>
        <v>9</v>
      </c>
      <c r="S16" s="61">
        <f t="array" ref="S16">INDEX(Inputs!$C$21:$E$21,MATCH(S$5,Inputs!$C$18:$E$18,0))</f>
        <v>8</v>
      </c>
      <c r="T16" s="61">
        <f t="array" ref="T16">INDEX(Inputs!$C$21:$E$21,MATCH(T$5,Inputs!$C$18:$E$18,0))</f>
        <v>8.8</v>
      </c>
      <c r="U16" s="61">
        <f t="array" ref="U16">INDEX(Inputs!$C$21:$E$21,MATCH(U$5,Inputs!$C$18:$E$18,0))</f>
        <v>9</v>
      </c>
      <c r="V16" s="61">
        <f t="array" ref="V16">INDEX(Inputs!$C$21:$E$21,MATCH(V$5,Inputs!$C$18:$E$18,0))</f>
        <v>8</v>
      </c>
      <c r="W16" s="61">
        <f t="array" ref="W16">INDEX(Inputs!$C$21:$E$21,MATCH(W$5,Inputs!$C$18:$E$18,0))</f>
        <v>8.8</v>
      </c>
      <c r="X16" s="61">
        <f t="array" ref="X16">INDEX(Inputs!$C$21:$E$21,MATCH(X$5,Inputs!$C$18:$E$18,0))</f>
        <v>9</v>
      </c>
      <c r="Y16" s="61">
        <f t="array" ref="Y16">INDEX(Inputs!$C$21:$E$21,MATCH(Y$5,Inputs!$C$18:$E$18,0))</f>
        <v>8</v>
      </c>
      <c r="Z16" s="61">
        <f t="array" ref="Z16">INDEX(Inputs!$C$21:$E$21,MATCH(Z$5,Inputs!$C$18:$E$18,0))</f>
        <v>8.8</v>
      </c>
      <c r="AA16" s="61">
        <f t="array" ref="AA16">INDEX(Inputs!$C$21:$E$21,MATCH(AA$5,Inputs!$C$18:$E$18,0))</f>
        <v>9</v>
      </c>
      <c r="AB16" s="61">
        <f t="array" ref="AB16">INDEX(Inputs!$C$21:$E$21,MATCH(AB$5,Inputs!$C$18:$E$18,0))</f>
        <v>8</v>
      </c>
      <c r="AC16" s="61">
        <f t="array" ref="AC16">INDEX(Inputs!$C$21:$E$21,MATCH(AC$5,Inputs!$C$18:$E$18,0))</f>
        <v>8.8</v>
      </c>
      <c r="AD16" s="61">
        <f t="array" ref="AD16">INDEX(Inputs!$C$21:$E$21,MATCH(AD$5,Inputs!$C$18:$E$18,0))</f>
        <v>9</v>
      </c>
      <c r="AE16" s="61">
        <f t="array" ref="AE16">INDEX(Inputs!$C$21:$E$21,MATCH(AE$5,Inputs!$C$18:$E$18,0))</f>
        <v>8</v>
      </c>
      <c r="AF16" s="61">
        <f t="array" ref="AF16">INDEX(Inputs!$C$21:$E$21,MATCH(AF$5,Inputs!$C$18:$E$18,0))</f>
        <v>8.8</v>
      </c>
      <c r="AG16" s="61">
        <f t="array" ref="AG16">INDEX(Inputs!$C$21:$E$21,MATCH(AG$5,Inputs!$C$18:$E$18,0))</f>
        <v>9</v>
      </c>
      <c r="AH16" s="61">
        <f t="array" ref="AH16">INDEX(Inputs!$C$21:$E$21,MATCH(AH$5,Inputs!$C$18:$E$18,0))</f>
        <v>8</v>
      </c>
      <c r="AI16" s="61">
        <f t="array" ref="AI16">INDEX(Inputs!$C$21:$E$21,MATCH(AI$5,Inputs!$C$18:$E$18,0))</f>
        <v>8.8</v>
      </c>
    </row>
    <row r="17">
      <c r="A17" s="51" t="s">
        <v>288</v>
      </c>
      <c r="B17" s="3" t="s">
        <v>83</v>
      </c>
      <c r="C17" s="61">
        <f t="array" ref="C17">INDEX(Inputs!$C$22:$E$22,MATCH(C$5,Inputs!$C$18:$E$18,0))</f>
        <v>14</v>
      </c>
      <c r="D17" s="61">
        <f t="array" ref="D17">INDEX(Inputs!$C$22:$E$22,MATCH(D$5,Inputs!$C$18:$E$18,0))</f>
        <v>11.5</v>
      </c>
      <c r="E17" s="61">
        <f t="array" ref="E17">INDEX(Inputs!$C$22:$E$22,MATCH(E$5,Inputs!$C$18:$E$18,0))</f>
        <v>12.5</v>
      </c>
      <c r="F17" s="61">
        <f t="array" ref="F17">INDEX(Inputs!$C$22:$E$22,MATCH(F$5,Inputs!$C$18:$E$18,0))</f>
        <v>14</v>
      </c>
      <c r="G17" s="61">
        <f t="array" ref="G17">INDEX(Inputs!$C$22:$E$22,MATCH(G$5,Inputs!$C$18:$E$18,0))</f>
        <v>11.5</v>
      </c>
      <c r="H17" s="61">
        <f t="array" ref="H17">INDEX(Inputs!$C$22:$E$22,MATCH(H$5,Inputs!$C$18:$E$18,0))</f>
        <v>12.5</v>
      </c>
      <c r="I17" s="61">
        <f t="array" ref="I17">INDEX(Inputs!$C$22:$E$22,MATCH(I$5,Inputs!$C$18:$E$18,0))</f>
        <v>14</v>
      </c>
      <c r="J17" s="61">
        <f t="array" ref="J17">INDEX(Inputs!$C$22:$E$22,MATCH(J$5,Inputs!$C$18:$E$18,0))</f>
        <v>11.5</v>
      </c>
      <c r="K17" s="61">
        <f t="array" ref="K17">INDEX(Inputs!$C$22:$E$22,MATCH(K$5,Inputs!$C$18:$E$18,0))</f>
        <v>12.5</v>
      </c>
      <c r="L17" s="61">
        <f t="array" ref="L17">INDEX(Inputs!$C$22:$E$22,MATCH(L$5,Inputs!$C$18:$E$18,0))</f>
        <v>14</v>
      </c>
      <c r="M17" s="61">
        <f t="array" ref="M17">INDEX(Inputs!$C$22:$E$22,MATCH(M$5,Inputs!$C$18:$E$18,0))</f>
        <v>11.5</v>
      </c>
      <c r="N17" s="61">
        <f t="array" ref="N17">INDEX(Inputs!$C$22:$E$22,MATCH(N$5,Inputs!$C$18:$E$18,0))</f>
        <v>12.5</v>
      </c>
      <c r="O17" s="61">
        <f t="array" ref="O17">INDEX(Inputs!$C$22:$E$22,MATCH(O$5,Inputs!$C$18:$E$18,0))</f>
        <v>14</v>
      </c>
      <c r="P17" s="61">
        <f t="array" ref="P17">INDEX(Inputs!$C$22:$E$22,MATCH(P$5,Inputs!$C$18:$E$18,0))</f>
        <v>11.5</v>
      </c>
      <c r="Q17" s="61">
        <f t="array" ref="Q17">INDEX(Inputs!$C$22:$E$22,MATCH(Q$5,Inputs!$C$18:$E$18,0))</f>
        <v>12.5</v>
      </c>
      <c r="R17" s="61">
        <f t="array" ref="R17">INDEX(Inputs!$C$22:$E$22,MATCH(R$5,Inputs!$C$18:$E$18,0))</f>
        <v>14</v>
      </c>
      <c r="S17" s="61">
        <f t="array" ref="S17">INDEX(Inputs!$C$22:$E$22,MATCH(S$5,Inputs!$C$18:$E$18,0))</f>
        <v>11.5</v>
      </c>
      <c r="T17" s="61">
        <f t="array" ref="T17">INDEX(Inputs!$C$22:$E$22,MATCH(T$5,Inputs!$C$18:$E$18,0))</f>
        <v>12.5</v>
      </c>
      <c r="U17" s="61">
        <f t="array" ref="U17">INDEX(Inputs!$C$22:$E$22,MATCH(U$5,Inputs!$C$18:$E$18,0))</f>
        <v>14</v>
      </c>
      <c r="V17" s="61">
        <f t="array" ref="V17">INDEX(Inputs!$C$22:$E$22,MATCH(V$5,Inputs!$C$18:$E$18,0))</f>
        <v>11.5</v>
      </c>
      <c r="W17" s="61">
        <f t="array" ref="W17">INDEX(Inputs!$C$22:$E$22,MATCH(W$5,Inputs!$C$18:$E$18,0))</f>
        <v>12.5</v>
      </c>
      <c r="X17" s="61">
        <f t="array" ref="X17">INDEX(Inputs!$C$22:$E$22,MATCH(X$5,Inputs!$C$18:$E$18,0))</f>
        <v>14</v>
      </c>
      <c r="Y17" s="61">
        <f t="array" ref="Y17">INDEX(Inputs!$C$22:$E$22,MATCH(Y$5,Inputs!$C$18:$E$18,0))</f>
        <v>11.5</v>
      </c>
      <c r="Z17" s="61">
        <f t="array" ref="Z17">INDEX(Inputs!$C$22:$E$22,MATCH(Z$5,Inputs!$C$18:$E$18,0))</f>
        <v>12.5</v>
      </c>
      <c r="AA17" s="61">
        <f t="array" ref="AA17">INDEX(Inputs!$C$22:$E$22,MATCH(AA$5,Inputs!$C$18:$E$18,0))</f>
        <v>14</v>
      </c>
      <c r="AB17" s="61">
        <f t="array" ref="AB17">INDEX(Inputs!$C$22:$E$22,MATCH(AB$5,Inputs!$C$18:$E$18,0))</f>
        <v>11.5</v>
      </c>
      <c r="AC17" s="61">
        <f t="array" ref="AC17">INDEX(Inputs!$C$22:$E$22,MATCH(AC$5,Inputs!$C$18:$E$18,0))</f>
        <v>12.5</v>
      </c>
      <c r="AD17" s="61">
        <f t="array" ref="AD17">INDEX(Inputs!$C$22:$E$22,MATCH(AD$5,Inputs!$C$18:$E$18,0))</f>
        <v>14</v>
      </c>
      <c r="AE17" s="61">
        <f t="array" ref="AE17">INDEX(Inputs!$C$22:$E$22,MATCH(AE$5,Inputs!$C$18:$E$18,0))</f>
        <v>11.5</v>
      </c>
      <c r="AF17" s="61">
        <f t="array" ref="AF17">INDEX(Inputs!$C$22:$E$22,MATCH(AF$5,Inputs!$C$18:$E$18,0))</f>
        <v>12.5</v>
      </c>
      <c r="AG17" s="61">
        <f t="array" ref="AG17">INDEX(Inputs!$C$22:$E$22,MATCH(AG$5,Inputs!$C$18:$E$18,0))</f>
        <v>14</v>
      </c>
      <c r="AH17" s="61">
        <f t="array" ref="AH17">INDEX(Inputs!$C$22:$E$22,MATCH(AH$5,Inputs!$C$18:$E$18,0))</f>
        <v>11.5</v>
      </c>
      <c r="AI17" s="61">
        <f t="array" ref="AI17">INDEX(Inputs!$C$22:$E$22,MATCH(AI$5,Inputs!$C$18:$E$18,0))</f>
        <v>12.5</v>
      </c>
    </row>
    <row r="18">
      <c r="A18" s="51" t="s">
        <v>86</v>
      </c>
      <c r="B18" s="3" t="s">
        <v>87</v>
      </c>
      <c r="C18" s="61">
        <f t="array" ref="C18">INDEX(Inputs!$C$23:$E$23,MATCH(C$5,Inputs!$C$18:$E$18,0))</f>
        <v>0.25</v>
      </c>
      <c r="D18" s="61">
        <f t="array" ref="D18">INDEX(Inputs!$C$23:$E$23,MATCH(D$5,Inputs!$C$18:$E$18,0))</f>
        <v>0.25</v>
      </c>
      <c r="E18" s="61">
        <f t="array" ref="E18">INDEX(Inputs!$C$23:$E$23,MATCH(E$5,Inputs!$C$18:$E$18,0))</f>
        <v>0.25</v>
      </c>
      <c r="F18" s="61">
        <f t="array" ref="F18">INDEX(Inputs!$C$23:$E$23,MATCH(F$5,Inputs!$C$18:$E$18,0))</f>
        <v>0.25</v>
      </c>
      <c r="G18" s="61">
        <f t="array" ref="G18">INDEX(Inputs!$C$23:$E$23,MATCH(G$5,Inputs!$C$18:$E$18,0))</f>
        <v>0.25</v>
      </c>
      <c r="H18" s="61">
        <f t="array" ref="H18">INDEX(Inputs!$C$23:$E$23,MATCH(H$5,Inputs!$C$18:$E$18,0))</f>
        <v>0.25</v>
      </c>
      <c r="I18" s="61">
        <f t="array" ref="I18">INDEX(Inputs!$C$23:$E$23,MATCH(I$5,Inputs!$C$18:$E$18,0))</f>
        <v>0.25</v>
      </c>
      <c r="J18" s="61">
        <f t="array" ref="J18">INDEX(Inputs!$C$23:$E$23,MATCH(J$5,Inputs!$C$18:$E$18,0))</f>
        <v>0.25</v>
      </c>
      <c r="K18" s="61">
        <f t="array" ref="K18">INDEX(Inputs!$C$23:$E$23,MATCH(K$5,Inputs!$C$18:$E$18,0))</f>
        <v>0.25</v>
      </c>
      <c r="L18" s="61">
        <f t="array" ref="L18">INDEX(Inputs!$C$23:$E$23,MATCH(L$5,Inputs!$C$18:$E$18,0))</f>
        <v>0.25</v>
      </c>
      <c r="M18" s="61">
        <f t="array" ref="M18">INDEX(Inputs!$C$23:$E$23,MATCH(M$5,Inputs!$C$18:$E$18,0))</f>
        <v>0.25</v>
      </c>
      <c r="N18" s="61">
        <f t="array" ref="N18">INDEX(Inputs!$C$23:$E$23,MATCH(N$5,Inputs!$C$18:$E$18,0))</f>
        <v>0.25</v>
      </c>
      <c r="O18" s="61">
        <f t="array" ref="O18">INDEX(Inputs!$C$23:$E$23,MATCH(O$5,Inputs!$C$18:$E$18,0))</f>
        <v>0.25</v>
      </c>
      <c r="P18" s="61">
        <f t="array" ref="P18">INDEX(Inputs!$C$23:$E$23,MATCH(P$5,Inputs!$C$18:$E$18,0))</f>
        <v>0.25</v>
      </c>
      <c r="Q18" s="61">
        <f t="array" ref="Q18">INDEX(Inputs!$C$23:$E$23,MATCH(Q$5,Inputs!$C$18:$E$18,0))</f>
        <v>0.25</v>
      </c>
      <c r="R18" s="61">
        <f t="array" ref="R18">INDEX(Inputs!$C$23:$E$23,MATCH(R$5,Inputs!$C$18:$E$18,0))</f>
        <v>0.25</v>
      </c>
      <c r="S18" s="61">
        <f t="array" ref="S18">INDEX(Inputs!$C$23:$E$23,MATCH(S$5,Inputs!$C$18:$E$18,0))</f>
        <v>0.25</v>
      </c>
      <c r="T18" s="61">
        <f t="array" ref="T18">INDEX(Inputs!$C$23:$E$23,MATCH(T$5,Inputs!$C$18:$E$18,0))</f>
        <v>0.25</v>
      </c>
      <c r="U18" s="61">
        <f t="array" ref="U18">INDEX(Inputs!$C$23:$E$23,MATCH(U$5,Inputs!$C$18:$E$18,0))</f>
        <v>0.25</v>
      </c>
      <c r="V18" s="61">
        <f t="array" ref="V18">INDEX(Inputs!$C$23:$E$23,MATCH(V$5,Inputs!$C$18:$E$18,0))</f>
        <v>0.25</v>
      </c>
      <c r="W18" s="61">
        <f t="array" ref="W18">INDEX(Inputs!$C$23:$E$23,MATCH(W$5,Inputs!$C$18:$E$18,0))</f>
        <v>0.25</v>
      </c>
      <c r="X18" s="61">
        <f t="array" ref="X18">INDEX(Inputs!$C$23:$E$23,MATCH(X$5,Inputs!$C$18:$E$18,0))</f>
        <v>0.25</v>
      </c>
      <c r="Y18" s="61">
        <f t="array" ref="Y18">INDEX(Inputs!$C$23:$E$23,MATCH(Y$5,Inputs!$C$18:$E$18,0))</f>
        <v>0.25</v>
      </c>
      <c r="Z18" s="61">
        <f t="array" ref="Z18">INDEX(Inputs!$C$23:$E$23,MATCH(Z$5,Inputs!$C$18:$E$18,0))</f>
        <v>0.25</v>
      </c>
      <c r="AA18" s="61">
        <f t="array" ref="AA18">INDEX(Inputs!$C$23:$E$23,MATCH(AA$5,Inputs!$C$18:$E$18,0))</f>
        <v>0.25</v>
      </c>
      <c r="AB18" s="61">
        <f t="array" ref="AB18">INDEX(Inputs!$C$23:$E$23,MATCH(AB$5,Inputs!$C$18:$E$18,0))</f>
        <v>0.25</v>
      </c>
      <c r="AC18" s="61">
        <f t="array" ref="AC18">INDEX(Inputs!$C$23:$E$23,MATCH(AC$5,Inputs!$C$18:$E$18,0))</f>
        <v>0.25</v>
      </c>
      <c r="AD18" s="61">
        <f t="array" ref="AD18">INDEX(Inputs!$C$23:$E$23,MATCH(AD$5,Inputs!$C$18:$E$18,0))</f>
        <v>0.25</v>
      </c>
      <c r="AE18" s="61">
        <f t="array" ref="AE18">INDEX(Inputs!$C$23:$E$23,MATCH(AE$5,Inputs!$C$18:$E$18,0))</f>
        <v>0.25</v>
      </c>
      <c r="AF18" s="61">
        <f t="array" ref="AF18">INDEX(Inputs!$C$23:$E$23,MATCH(AF$5,Inputs!$C$18:$E$18,0))</f>
        <v>0.25</v>
      </c>
      <c r="AG18" s="61">
        <f t="array" ref="AG18">INDEX(Inputs!$C$23:$E$23,MATCH(AG$5,Inputs!$C$18:$E$18,0))</f>
        <v>0.25</v>
      </c>
      <c r="AH18" s="61">
        <f t="array" ref="AH18">INDEX(Inputs!$C$23:$E$23,MATCH(AH$5,Inputs!$C$18:$E$18,0))</f>
        <v>0.25</v>
      </c>
      <c r="AI18" s="61">
        <f t="array" ref="AI18">INDEX(Inputs!$C$23:$E$23,MATCH(AI$5,Inputs!$C$18:$E$18,0))</f>
        <v>0.25</v>
      </c>
    </row>
    <row r="19">
      <c r="A19" s="51" t="s">
        <v>89</v>
      </c>
      <c r="B19" s="3" t="s">
        <v>83</v>
      </c>
      <c r="C19" s="61">
        <f t="array" ref="C19">INDEX(Inputs!$C$24:$E$24,MATCH(C$5,Inputs!$C$18:$E$18,0))</f>
        <v>3.2</v>
      </c>
      <c r="D19" s="61">
        <f t="array" ref="D19">INDEX(Inputs!$C$24:$E$24,MATCH(D$5,Inputs!$C$18:$E$18,0))</f>
        <v>6.5</v>
      </c>
      <c r="E19" s="61">
        <f t="array" ref="E19">INDEX(Inputs!$C$24:$E$24,MATCH(E$5,Inputs!$C$18:$E$18,0))</f>
        <v>3.8</v>
      </c>
      <c r="F19" s="61">
        <f t="array" ref="F19">INDEX(Inputs!$C$24:$E$24,MATCH(F$5,Inputs!$C$18:$E$18,0))</f>
        <v>3.2</v>
      </c>
      <c r="G19" s="61">
        <f t="array" ref="G19">INDEX(Inputs!$C$24:$E$24,MATCH(G$5,Inputs!$C$18:$E$18,0))</f>
        <v>6.5</v>
      </c>
      <c r="H19" s="61">
        <f t="array" ref="H19">INDEX(Inputs!$C$24:$E$24,MATCH(H$5,Inputs!$C$18:$E$18,0))</f>
        <v>3.8</v>
      </c>
      <c r="I19" s="61">
        <f t="array" ref="I19">INDEX(Inputs!$C$24:$E$24,MATCH(I$5,Inputs!$C$18:$E$18,0))</f>
        <v>3.2</v>
      </c>
      <c r="J19" s="61">
        <f t="array" ref="J19">INDEX(Inputs!$C$24:$E$24,MATCH(J$5,Inputs!$C$18:$E$18,0))</f>
        <v>6.5</v>
      </c>
      <c r="K19" s="61">
        <f t="array" ref="K19">INDEX(Inputs!$C$24:$E$24,MATCH(K$5,Inputs!$C$18:$E$18,0))</f>
        <v>3.8</v>
      </c>
      <c r="L19" s="61">
        <f t="array" ref="L19">INDEX(Inputs!$C$24:$E$24,MATCH(L$5,Inputs!$C$18:$E$18,0))</f>
        <v>3.2</v>
      </c>
      <c r="M19" s="61">
        <f t="array" ref="M19">INDEX(Inputs!$C$24:$E$24,MATCH(M$5,Inputs!$C$18:$E$18,0))</f>
        <v>6.5</v>
      </c>
      <c r="N19" s="61">
        <f t="array" ref="N19">INDEX(Inputs!$C$24:$E$24,MATCH(N$5,Inputs!$C$18:$E$18,0))</f>
        <v>3.8</v>
      </c>
      <c r="O19" s="61">
        <f t="array" ref="O19">INDEX(Inputs!$C$24:$E$24,MATCH(O$5,Inputs!$C$18:$E$18,0))</f>
        <v>3.2</v>
      </c>
      <c r="P19" s="61">
        <f t="array" ref="P19">INDEX(Inputs!$C$24:$E$24,MATCH(P$5,Inputs!$C$18:$E$18,0))</f>
        <v>6.5</v>
      </c>
      <c r="Q19" s="61">
        <f t="array" ref="Q19">INDEX(Inputs!$C$24:$E$24,MATCH(Q$5,Inputs!$C$18:$E$18,0))</f>
        <v>3.8</v>
      </c>
      <c r="R19" s="61">
        <f t="array" ref="R19">INDEX(Inputs!$C$24:$E$24,MATCH(R$5,Inputs!$C$18:$E$18,0))</f>
        <v>3.2</v>
      </c>
      <c r="S19" s="61">
        <f t="array" ref="S19">INDEX(Inputs!$C$24:$E$24,MATCH(S$5,Inputs!$C$18:$E$18,0))</f>
        <v>6.5</v>
      </c>
      <c r="T19" s="61">
        <f t="array" ref="T19">INDEX(Inputs!$C$24:$E$24,MATCH(T$5,Inputs!$C$18:$E$18,0))</f>
        <v>3.8</v>
      </c>
      <c r="U19" s="61">
        <f t="array" ref="U19">INDEX(Inputs!$C$24:$E$24,MATCH(U$5,Inputs!$C$18:$E$18,0))</f>
        <v>3.2</v>
      </c>
      <c r="V19" s="61">
        <f t="array" ref="V19">INDEX(Inputs!$C$24:$E$24,MATCH(V$5,Inputs!$C$18:$E$18,0))</f>
        <v>6.5</v>
      </c>
      <c r="W19" s="61">
        <f t="array" ref="W19">INDEX(Inputs!$C$24:$E$24,MATCH(W$5,Inputs!$C$18:$E$18,0))</f>
        <v>3.8</v>
      </c>
      <c r="X19" s="61">
        <f t="array" ref="X19">INDEX(Inputs!$C$24:$E$24,MATCH(X$5,Inputs!$C$18:$E$18,0))</f>
        <v>3.2</v>
      </c>
      <c r="Y19" s="61">
        <f t="array" ref="Y19">INDEX(Inputs!$C$24:$E$24,MATCH(Y$5,Inputs!$C$18:$E$18,0))</f>
        <v>6.5</v>
      </c>
      <c r="Z19" s="61">
        <f t="array" ref="Z19">INDEX(Inputs!$C$24:$E$24,MATCH(Z$5,Inputs!$C$18:$E$18,0))</f>
        <v>3.8</v>
      </c>
      <c r="AA19" s="61">
        <f t="array" ref="AA19">INDEX(Inputs!$C$24:$E$24,MATCH(AA$5,Inputs!$C$18:$E$18,0))</f>
        <v>3.2</v>
      </c>
      <c r="AB19" s="61">
        <f t="array" ref="AB19">INDEX(Inputs!$C$24:$E$24,MATCH(AB$5,Inputs!$C$18:$E$18,0))</f>
        <v>6.5</v>
      </c>
      <c r="AC19" s="61">
        <f t="array" ref="AC19">INDEX(Inputs!$C$24:$E$24,MATCH(AC$5,Inputs!$C$18:$E$18,0))</f>
        <v>3.8</v>
      </c>
      <c r="AD19" s="61">
        <f t="array" ref="AD19">INDEX(Inputs!$C$24:$E$24,MATCH(AD$5,Inputs!$C$18:$E$18,0))</f>
        <v>3.2</v>
      </c>
      <c r="AE19" s="61">
        <f t="array" ref="AE19">INDEX(Inputs!$C$24:$E$24,MATCH(AE$5,Inputs!$C$18:$E$18,0))</f>
        <v>6.5</v>
      </c>
      <c r="AF19" s="61">
        <f t="array" ref="AF19">INDEX(Inputs!$C$24:$E$24,MATCH(AF$5,Inputs!$C$18:$E$18,0))</f>
        <v>3.8</v>
      </c>
      <c r="AG19" s="61">
        <f t="array" ref="AG19">INDEX(Inputs!$C$24:$E$24,MATCH(AG$5,Inputs!$C$18:$E$18,0))</f>
        <v>3.2</v>
      </c>
      <c r="AH19" s="61">
        <f t="array" ref="AH19">INDEX(Inputs!$C$24:$E$24,MATCH(AH$5,Inputs!$C$18:$E$18,0))</f>
        <v>6.5</v>
      </c>
      <c r="AI19" s="61">
        <f t="array" ref="AI19">INDEX(Inputs!$C$24:$E$24,MATCH(AI$5,Inputs!$C$18:$E$18,0))</f>
        <v>3.8</v>
      </c>
    </row>
    <row r="20">
      <c r="A20" s="51" t="s">
        <v>289</v>
      </c>
      <c r="B20" s="3" t="s">
        <v>100</v>
      </c>
      <c r="C20" s="62">
        <f t="array" ref="C20">INDEX(Inputs!$C$25:$E$25,MATCH(C$5,Inputs!$C$18:$E$18,0))</f>
        <v>0.55</v>
      </c>
      <c r="D20" s="62">
        <f t="array" ref="D20">INDEX(Inputs!$C$25:$E$25,MATCH(D$5,Inputs!$C$18:$E$18,0))</f>
        <v>0.4</v>
      </c>
      <c r="E20" s="62">
        <f t="array" ref="E20">INDEX(Inputs!$C$25:$E$25,MATCH(E$5,Inputs!$C$18:$E$18,0))</f>
        <v>0.48</v>
      </c>
      <c r="F20" s="62">
        <f t="array" ref="F20">INDEX(Inputs!$C$25:$E$25,MATCH(F$5,Inputs!$C$18:$E$18,0))</f>
        <v>0.55</v>
      </c>
      <c r="G20" s="62">
        <f t="array" ref="G20">INDEX(Inputs!$C$25:$E$25,MATCH(G$5,Inputs!$C$18:$E$18,0))</f>
        <v>0.4</v>
      </c>
      <c r="H20" s="62">
        <f t="array" ref="H20">INDEX(Inputs!$C$25:$E$25,MATCH(H$5,Inputs!$C$18:$E$18,0))</f>
        <v>0.48</v>
      </c>
      <c r="I20" s="62">
        <f t="array" ref="I20">INDEX(Inputs!$C$25:$E$25,MATCH(I$5,Inputs!$C$18:$E$18,0))</f>
        <v>0.55</v>
      </c>
      <c r="J20" s="62">
        <f t="array" ref="J20">INDEX(Inputs!$C$25:$E$25,MATCH(J$5,Inputs!$C$18:$E$18,0))</f>
        <v>0.4</v>
      </c>
      <c r="K20" s="62">
        <f t="array" ref="K20">INDEX(Inputs!$C$25:$E$25,MATCH(K$5,Inputs!$C$18:$E$18,0))</f>
        <v>0.48</v>
      </c>
      <c r="L20" s="62">
        <f t="array" ref="L20">INDEX(Inputs!$C$25:$E$25,MATCH(L$5,Inputs!$C$18:$E$18,0))</f>
        <v>0.55</v>
      </c>
      <c r="M20" s="62">
        <f t="array" ref="M20">INDEX(Inputs!$C$25:$E$25,MATCH(M$5,Inputs!$C$18:$E$18,0))</f>
        <v>0.4</v>
      </c>
      <c r="N20" s="62">
        <f t="array" ref="N20">INDEX(Inputs!$C$25:$E$25,MATCH(N$5,Inputs!$C$18:$E$18,0))</f>
        <v>0.48</v>
      </c>
      <c r="O20" s="62">
        <f t="array" ref="O20">INDEX(Inputs!$C$25:$E$25,MATCH(O$5,Inputs!$C$18:$E$18,0))</f>
        <v>0.55</v>
      </c>
      <c r="P20" s="62">
        <f t="array" ref="P20">INDEX(Inputs!$C$25:$E$25,MATCH(P$5,Inputs!$C$18:$E$18,0))</f>
        <v>0.4</v>
      </c>
      <c r="Q20" s="62">
        <f t="array" ref="Q20">INDEX(Inputs!$C$25:$E$25,MATCH(Q$5,Inputs!$C$18:$E$18,0))</f>
        <v>0.48</v>
      </c>
      <c r="R20" s="62">
        <f t="array" ref="R20">INDEX(Inputs!$C$25:$E$25,MATCH(R$5,Inputs!$C$18:$E$18,0))</f>
        <v>0.55</v>
      </c>
      <c r="S20" s="62">
        <f t="array" ref="S20">INDEX(Inputs!$C$25:$E$25,MATCH(S$5,Inputs!$C$18:$E$18,0))</f>
        <v>0.4</v>
      </c>
      <c r="T20" s="62">
        <f t="array" ref="T20">INDEX(Inputs!$C$25:$E$25,MATCH(T$5,Inputs!$C$18:$E$18,0))</f>
        <v>0.48</v>
      </c>
      <c r="U20" s="62">
        <f t="array" ref="U20">INDEX(Inputs!$C$25:$E$25,MATCH(U$5,Inputs!$C$18:$E$18,0))</f>
        <v>0.55</v>
      </c>
      <c r="V20" s="62">
        <f t="array" ref="V20">INDEX(Inputs!$C$25:$E$25,MATCH(V$5,Inputs!$C$18:$E$18,0))</f>
        <v>0.4</v>
      </c>
      <c r="W20" s="62">
        <f t="array" ref="W20">INDEX(Inputs!$C$25:$E$25,MATCH(W$5,Inputs!$C$18:$E$18,0))</f>
        <v>0.48</v>
      </c>
      <c r="X20" s="62">
        <f t="array" ref="X20">INDEX(Inputs!$C$25:$E$25,MATCH(X$5,Inputs!$C$18:$E$18,0))</f>
        <v>0.55</v>
      </c>
      <c r="Y20" s="62">
        <f t="array" ref="Y20">INDEX(Inputs!$C$25:$E$25,MATCH(Y$5,Inputs!$C$18:$E$18,0))</f>
        <v>0.4</v>
      </c>
      <c r="Z20" s="62">
        <f t="array" ref="Z20">INDEX(Inputs!$C$25:$E$25,MATCH(Z$5,Inputs!$C$18:$E$18,0))</f>
        <v>0.48</v>
      </c>
      <c r="AA20" s="62">
        <f t="array" ref="AA20">INDEX(Inputs!$C$25:$E$25,MATCH(AA$5,Inputs!$C$18:$E$18,0))</f>
        <v>0.55</v>
      </c>
      <c r="AB20" s="62">
        <f t="array" ref="AB20">INDEX(Inputs!$C$25:$E$25,MATCH(AB$5,Inputs!$C$18:$E$18,0))</f>
        <v>0.4</v>
      </c>
      <c r="AC20" s="62">
        <f t="array" ref="AC20">INDEX(Inputs!$C$25:$E$25,MATCH(AC$5,Inputs!$C$18:$E$18,0))</f>
        <v>0.48</v>
      </c>
      <c r="AD20" s="62">
        <f t="array" ref="AD20">INDEX(Inputs!$C$25:$E$25,MATCH(AD$5,Inputs!$C$18:$E$18,0))</f>
        <v>0.55</v>
      </c>
      <c r="AE20" s="62">
        <f t="array" ref="AE20">INDEX(Inputs!$C$25:$E$25,MATCH(AE$5,Inputs!$C$18:$E$18,0))</f>
        <v>0.4</v>
      </c>
      <c r="AF20" s="62">
        <f t="array" ref="AF20">INDEX(Inputs!$C$25:$E$25,MATCH(AF$5,Inputs!$C$18:$E$18,0))</f>
        <v>0.48</v>
      </c>
      <c r="AG20" s="62">
        <f t="array" ref="AG20">INDEX(Inputs!$C$25:$E$25,MATCH(AG$5,Inputs!$C$18:$E$18,0))</f>
        <v>0.55</v>
      </c>
      <c r="AH20" s="62">
        <f t="array" ref="AH20">INDEX(Inputs!$C$25:$E$25,MATCH(AH$5,Inputs!$C$18:$E$18,0))</f>
        <v>0.4</v>
      </c>
      <c r="AI20" s="62">
        <f t="array" ref="AI20">INDEX(Inputs!$C$25:$E$25,MATCH(AI$5,Inputs!$C$18:$E$18,0))</f>
        <v>0.48</v>
      </c>
    </row>
    <row r="21" ht="15.75" customHeight="1">
      <c r="A21" s="51" t="s">
        <v>96</v>
      </c>
      <c r="B21" s="3" t="s">
        <v>29</v>
      </c>
      <c r="C21" s="57">
        <f t="array" ref="C21">INDEX(Inputs!$C$26:$E$26,MATCH(C$5,Inputs!$C$18:$E$18,0))</f>
        <v>0.86</v>
      </c>
      <c r="D21" s="57">
        <f t="array" ref="D21">INDEX(Inputs!$C$26:$E$26,MATCH(D$5,Inputs!$C$18:$E$18,0))</f>
        <v>0.93</v>
      </c>
      <c r="E21" s="57">
        <f t="array" ref="E21">INDEX(Inputs!$C$26:$E$26,MATCH(E$5,Inputs!$C$18:$E$18,0))</f>
        <v>0.9</v>
      </c>
      <c r="F21" s="57">
        <f t="array" ref="F21">INDEX(Inputs!$C$26:$E$26,MATCH(F$5,Inputs!$C$18:$E$18,0))</f>
        <v>0.86</v>
      </c>
      <c r="G21" s="57">
        <f t="array" ref="G21">INDEX(Inputs!$C$26:$E$26,MATCH(G$5,Inputs!$C$18:$E$18,0))</f>
        <v>0.93</v>
      </c>
      <c r="H21" s="57">
        <f t="array" ref="H21">INDEX(Inputs!$C$26:$E$26,MATCH(H$5,Inputs!$C$18:$E$18,0))</f>
        <v>0.9</v>
      </c>
      <c r="I21" s="57">
        <f t="array" ref="I21">INDEX(Inputs!$C$26:$E$26,MATCH(I$5,Inputs!$C$18:$E$18,0))</f>
        <v>0.86</v>
      </c>
      <c r="J21" s="57">
        <f t="array" ref="J21">INDEX(Inputs!$C$26:$E$26,MATCH(J$5,Inputs!$C$18:$E$18,0))</f>
        <v>0.93</v>
      </c>
      <c r="K21" s="57">
        <f t="array" ref="K21">INDEX(Inputs!$C$26:$E$26,MATCH(K$5,Inputs!$C$18:$E$18,0))</f>
        <v>0.9</v>
      </c>
      <c r="L21" s="57">
        <f t="array" ref="L21">INDEX(Inputs!$C$26:$E$26,MATCH(L$5,Inputs!$C$18:$E$18,0))</f>
        <v>0.86</v>
      </c>
      <c r="M21" s="57">
        <f t="array" ref="M21">INDEX(Inputs!$C$26:$E$26,MATCH(M$5,Inputs!$C$18:$E$18,0))</f>
        <v>0.93</v>
      </c>
      <c r="N21" s="57">
        <f t="array" ref="N21">INDEX(Inputs!$C$26:$E$26,MATCH(N$5,Inputs!$C$18:$E$18,0))</f>
        <v>0.9</v>
      </c>
      <c r="O21" s="57">
        <f t="array" ref="O21">INDEX(Inputs!$C$26:$E$26,MATCH(O$5,Inputs!$C$18:$E$18,0))</f>
        <v>0.86</v>
      </c>
      <c r="P21" s="57">
        <f t="array" ref="P21">INDEX(Inputs!$C$26:$E$26,MATCH(P$5,Inputs!$C$18:$E$18,0))</f>
        <v>0.93</v>
      </c>
      <c r="Q21" s="57">
        <f t="array" ref="Q21">INDEX(Inputs!$C$26:$E$26,MATCH(Q$5,Inputs!$C$18:$E$18,0))</f>
        <v>0.9</v>
      </c>
      <c r="R21" s="57">
        <f t="array" ref="R21">INDEX(Inputs!$C$26:$E$26,MATCH(R$5,Inputs!$C$18:$E$18,0))</f>
        <v>0.86</v>
      </c>
      <c r="S21" s="57">
        <f t="array" ref="S21">INDEX(Inputs!$C$26:$E$26,MATCH(S$5,Inputs!$C$18:$E$18,0))</f>
        <v>0.93</v>
      </c>
      <c r="T21" s="57">
        <f t="array" ref="T21">INDEX(Inputs!$C$26:$E$26,MATCH(T$5,Inputs!$C$18:$E$18,0))</f>
        <v>0.9</v>
      </c>
      <c r="U21" s="57">
        <f t="array" ref="U21">INDEX(Inputs!$C$26:$E$26,MATCH(U$5,Inputs!$C$18:$E$18,0))</f>
        <v>0.86</v>
      </c>
      <c r="V21" s="57">
        <f t="array" ref="V21">INDEX(Inputs!$C$26:$E$26,MATCH(V$5,Inputs!$C$18:$E$18,0))</f>
        <v>0.93</v>
      </c>
      <c r="W21" s="57">
        <f t="array" ref="W21">INDEX(Inputs!$C$26:$E$26,MATCH(W$5,Inputs!$C$18:$E$18,0))</f>
        <v>0.9</v>
      </c>
      <c r="X21" s="57">
        <f t="array" ref="X21">INDEX(Inputs!$C$26:$E$26,MATCH(X$5,Inputs!$C$18:$E$18,0))</f>
        <v>0.86</v>
      </c>
      <c r="Y21" s="57">
        <f t="array" ref="Y21">INDEX(Inputs!$C$26:$E$26,MATCH(Y$5,Inputs!$C$18:$E$18,0))</f>
        <v>0.93</v>
      </c>
      <c r="Z21" s="57">
        <f t="array" ref="Z21">INDEX(Inputs!$C$26:$E$26,MATCH(Z$5,Inputs!$C$18:$E$18,0))</f>
        <v>0.9</v>
      </c>
      <c r="AA21" s="57">
        <f t="array" ref="AA21">INDEX(Inputs!$C$26:$E$26,MATCH(AA$5,Inputs!$C$18:$E$18,0))</f>
        <v>0.86</v>
      </c>
      <c r="AB21" s="57">
        <f t="array" ref="AB21">INDEX(Inputs!$C$26:$E$26,MATCH(AB$5,Inputs!$C$18:$E$18,0))</f>
        <v>0.93</v>
      </c>
      <c r="AC21" s="57">
        <f t="array" ref="AC21">INDEX(Inputs!$C$26:$E$26,MATCH(AC$5,Inputs!$C$18:$E$18,0))</f>
        <v>0.9</v>
      </c>
      <c r="AD21" s="57">
        <f t="array" ref="AD21">INDEX(Inputs!$C$26:$E$26,MATCH(AD$5,Inputs!$C$18:$E$18,0))</f>
        <v>0.86</v>
      </c>
      <c r="AE21" s="57">
        <f t="array" ref="AE21">INDEX(Inputs!$C$26:$E$26,MATCH(AE$5,Inputs!$C$18:$E$18,0))</f>
        <v>0.93</v>
      </c>
      <c r="AF21" s="57">
        <f t="array" ref="AF21">INDEX(Inputs!$C$26:$E$26,MATCH(AF$5,Inputs!$C$18:$E$18,0))</f>
        <v>0.9</v>
      </c>
      <c r="AG21" s="57">
        <f t="array" ref="AG21">INDEX(Inputs!$C$26:$E$26,MATCH(AG$5,Inputs!$C$18:$E$18,0))</f>
        <v>0.86</v>
      </c>
      <c r="AH21" s="57">
        <f t="array" ref="AH21">INDEX(Inputs!$C$26:$E$26,MATCH(AH$5,Inputs!$C$18:$E$18,0))</f>
        <v>0.93</v>
      </c>
      <c r="AI21" s="57">
        <f t="array" ref="AI21">INDEX(Inputs!$C$26:$E$26,MATCH(AI$5,Inputs!$C$18:$E$18,0))</f>
        <v>0.9</v>
      </c>
    </row>
    <row r="22" ht="15.75" customHeight="1">
      <c r="A22" s="51" t="s">
        <v>290</v>
      </c>
      <c r="B22" s="3" t="s">
        <v>100</v>
      </c>
      <c r="C22" s="63">
        <f t="array" ref="C22">INDEX(Inputs!$C$27:$E$27,MATCH(C$5,Inputs!$C$18:$E$18,0))</f>
        <v>1800000</v>
      </c>
      <c r="D22" s="63">
        <f t="array" ref="D22">INDEX(Inputs!$C$27:$E$27,MATCH(D$5,Inputs!$C$18:$E$18,0))</f>
        <v>1400000</v>
      </c>
      <c r="E22" s="63">
        <f t="array" ref="E22">INDEX(Inputs!$C$27:$E$27,MATCH(E$5,Inputs!$C$18:$E$18,0))</f>
        <v>1600000</v>
      </c>
      <c r="F22" s="63">
        <f t="array" ref="F22">INDEX(Inputs!$C$27:$E$27,MATCH(F$5,Inputs!$C$18:$E$18,0))</f>
        <v>1800000</v>
      </c>
      <c r="G22" s="63">
        <f t="array" ref="G22">INDEX(Inputs!$C$27:$E$27,MATCH(G$5,Inputs!$C$18:$E$18,0))</f>
        <v>1400000</v>
      </c>
      <c r="H22" s="63">
        <f t="array" ref="H22">INDEX(Inputs!$C$27:$E$27,MATCH(H$5,Inputs!$C$18:$E$18,0))</f>
        <v>1600000</v>
      </c>
      <c r="I22" s="63">
        <f t="array" ref="I22">INDEX(Inputs!$C$27:$E$27,MATCH(I$5,Inputs!$C$18:$E$18,0))</f>
        <v>1800000</v>
      </c>
      <c r="J22" s="63">
        <f t="array" ref="J22">INDEX(Inputs!$C$27:$E$27,MATCH(J$5,Inputs!$C$18:$E$18,0))</f>
        <v>1400000</v>
      </c>
      <c r="K22" s="63">
        <f t="array" ref="K22">INDEX(Inputs!$C$27:$E$27,MATCH(K$5,Inputs!$C$18:$E$18,0))</f>
        <v>1600000</v>
      </c>
      <c r="L22" s="63">
        <f t="array" ref="L22">INDEX(Inputs!$C$27:$E$27,MATCH(L$5,Inputs!$C$18:$E$18,0))</f>
        <v>1800000</v>
      </c>
      <c r="M22" s="63">
        <f t="array" ref="M22">INDEX(Inputs!$C$27:$E$27,MATCH(M$5,Inputs!$C$18:$E$18,0))</f>
        <v>1400000</v>
      </c>
      <c r="N22" s="63">
        <f t="array" ref="N22">INDEX(Inputs!$C$27:$E$27,MATCH(N$5,Inputs!$C$18:$E$18,0))</f>
        <v>1600000</v>
      </c>
      <c r="O22" s="63">
        <f t="array" ref="O22">INDEX(Inputs!$C$27:$E$27,MATCH(O$5,Inputs!$C$18:$E$18,0))</f>
        <v>1800000</v>
      </c>
      <c r="P22" s="63">
        <f t="array" ref="P22">INDEX(Inputs!$C$27:$E$27,MATCH(P$5,Inputs!$C$18:$E$18,0))</f>
        <v>1400000</v>
      </c>
      <c r="Q22" s="63">
        <f t="array" ref="Q22">INDEX(Inputs!$C$27:$E$27,MATCH(Q$5,Inputs!$C$18:$E$18,0))</f>
        <v>1600000</v>
      </c>
      <c r="R22" s="63">
        <f t="array" ref="R22">INDEX(Inputs!$C$27:$E$27,MATCH(R$5,Inputs!$C$18:$E$18,0))</f>
        <v>1800000</v>
      </c>
      <c r="S22" s="63">
        <f t="array" ref="S22">INDEX(Inputs!$C$27:$E$27,MATCH(S$5,Inputs!$C$18:$E$18,0))</f>
        <v>1400000</v>
      </c>
      <c r="T22" s="63">
        <f t="array" ref="T22">INDEX(Inputs!$C$27:$E$27,MATCH(T$5,Inputs!$C$18:$E$18,0))</f>
        <v>1600000</v>
      </c>
      <c r="U22" s="63">
        <f t="array" ref="U22">INDEX(Inputs!$C$27:$E$27,MATCH(U$5,Inputs!$C$18:$E$18,0))</f>
        <v>1800000</v>
      </c>
      <c r="V22" s="63">
        <f t="array" ref="V22">INDEX(Inputs!$C$27:$E$27,MATCH(V$5,Inputs!$C$18:$E$18,0))</f>
        <v>1400000</v>
      </c>
      <c r="W22" s="63">
        <f t="array" ref="W22">INDEX(Inputs!$C$27:$E$27,MATCH(W$5,Inputs!$C$18:$E$18,0))</f>
        <v>1600000</v>
      </c>
      <c r="X22" s="63">
        <f t="array" ref="X22">INDEX(Inputs!$C$27:$E$27,MATCH(X$5,Inputs!$C$18:$E$18,0))</f>
        <v>1800000</v>
      </c>
      <c r="Y22" s="63">
        <f t="array" ref="Y22">INDEX(Inputs!$C$27:$E$27,MATCH(Y$5,Inputs!$C$18:$E$18,0))</f>
        <v>1400000</v>
      </c>
      <c r="Z22" s="63">
        <f t="array" ref="Z22">INDEX(Inputs!$C$27:$E$27,MATCH(Z$5,Inputs!$C$18:$E$18,0))</f>
        <v>1600000</v>
      </c>
      <c r="AA22" s="63">
        <f t="array" ref="AA22">INDEX(Inputs!$C$27:$E$27,MATCH(AA$5,Inputs!$C$18:$E$18,0))</f>
        <v>1800000</v>
      </c>
      <c r="AB22" s="63">
        <f t="array" ref="AB22">INDEX(Inputs!$C$27:$E$27,MATCH(AB$5,Inputs!$C$18:$E$18,0))</f>
        <v>1400000</v>
      </c>
      <c r="AC22" s="63">
        <f t="array" ref="AC22">INDEX(Inputs!$C$27:$E$27,MATCH(AC$5,Inputs!$C$18:$E$18,0))</f>
        <v>1600000</v>
      </c>
      <c r="AD22" s="63">
        <f t="array" ref="AD22">INDEX(Inputs!$C$27:$E$27,MATCH(AD$5,Inputs!$C$18:$E$18,0))</f>
        <v>1800000</v>
      </c>
      <c r="AE22" s="63">
        <f t="array" ref="AE22">INDEX(Inputs!$C$27:$E$27,MATCH(AE$5,Inputs!$C$18:$E$18,0))</f>
        <v>1400000</v>
      </c>
      <c r="AF22" s="63">
        <f t="array" ref="AF22">INDEX(Inputs!$C$27:$E$27,MATCH(AF$5,Inputs!$C$18:$E$18,0))</f>
        <v>1600000</v>
      </c>
      <c r="AG22" s="63">
        <f t="array" ref="AG22">INDEX(Inputs!$C$27:$E$27,MATCH(AG$5,Inputs!$C$18:$E$18,0))</f>
        <v>1800000</v>
      </c>
      <c r="AH22" s="63">
        <f t="array" ref="AH22">INDEX(Inputs!$C$27:$E$27,MATCH(AH$5,Inputs!$C$18:$E$18,0))</f>
        <v>1400000</v>
      </c>
      <c r="AI22" s="63">
        <f t="array" ref="AI22">INDEX(Inputs!$C$27:$E$27,MATCH(AI$5,Inputs!$C$18:$E$18,0))</f>
        <v>1600000</v>
      </c>
    </row>
    <row r="23" ht="15.75" customHeight="1">
      <c r="A23" s="51" t="s">
        <v>102</v>
      </c>
      <c r="B23" s="3" t="s">
        <v>103</v>
      </c>
      <c r="C23" s="63">
        <f t="array" ref="C23">INDEX(Inputs!$C$28:$E$28,MATCH(C$5,Inputs!$C$18:$E$18,0))</f>
        <v>1200000</v>
      </c>
      <c r="D23" s="63">
        <f t="array" ref="D23">INDEX(Inputs!$C$28:$E$28,MATCH(D$5,Inputs!$C$18:$E$18,0))</f>
        <v>1500000</v>
      </c>
      <c r="E23" s="63">
        <f t="array" ref="E23">INDEX(Inputs!$C$28:$E$28,MATCH(E$5,Inputs!$C$18:$E$18,0))</f>
        <v>1100000</v>
      </c>
      <c r="F23" s="63">
        <f t="array" ref="F23">INDEX(Inputs!$C$28:$E$28,MATCH(F$5,Inputs!$C$18:$E$18,0))</f>
        <v>1200000</v>
      </c>
      <c r="G23" s="63">
        <f t="array" ref="G23">INDEX(Inputs!$C$28:$E$28,MATCH(G$5,Inputs!$C$18:$E$18,0))</f>
        <v>1500000</v>
      </c>
      <c r="H23" s="63">
        <f t="array" ref="H23">INDEX(Inputs!$C$28:$E$28,MATCH(H$5,Inputs!$C$18:$E$18,0))</f>
        <v>1100000</v>
      </c>
      <c r="I23" s="63">
        <f t="array" ref="I23">INDEX(Inputs!$C$28:$E$28,MATCH(I$5,Inputs!$C$18:$E$18,0))</f>
        <v>1200000</v>
      </c>
      <c r="J23" s="63">
        <f t="array" ref="J23">INDEX(Inputs!$C$28:$E$28,MATCH(J$5,Inputs!$C$18:$E$18,0))</f>
        <v>1500000</v>
      </c>
      <c r="K23" s="63">
        <f t="array" ref="K23">INDEX(Inputs!$C$28:$E$28,MATCH(K$5,Inputs!$C$18:$E$18,0))</f>
        <v>1100000</v>
      </c>
      <c r="L23" s="63">
        <f t="array" ref="L23">INDEX(Inputs!$C$28:$E$28,MATCH(L$5,Inputs!$C$18:$E$18,0))</f>
        <v>1200000</v>
      </c>
      <c r="M23" s="63">
        <f t="array" ref="M23">INDEX(Inputs!$C$28:$E$28,MATCH(M$5,Inputs!$C$18:$E$18,0))</f>
        <v>1500000</v>
      </c>
      <c r="N23" s="63">
        <f t="array" ref="N23">INDEX(Inputs!$C$28:$E$28,MATCH(N$5,Inputs!$C$18:$E$18,0))</f>
        <v>1100000</v>
      </c>
      <c r="O23" s="63">
        <f t="array" ref="O23">INDEX(Inputs!$C$28:$E$28,MATCH(O$5,Inputs!$C$18:$E$18,0))</f>
        <v>1200000</v>
      </c>
      <c r="P23" s="63">
        <f t="array" ref="P23">INDEX(Inputs!$C$28:$E$28,MATCH(P$5,Inputs!$C$18:$E$18,0))</f>
        <v>1500000</v>
      </c>
      <c r="Q23" s="63">
        <f t="array" ref="Q23">INDEX(Inputs!$C$28:$E$28,MATCH(Q$5,Inputs!$C$18:$E$18,0))</f>
        <v>1100000</v>
      </c>
      <c r="R23" s="63">
        <f t="array" ref="R23">INDEX(Inputs!$C$28:$E$28,MATCH(R$5,Inputs!$C$18:$E$18,0))</f>
        <v>1200000</v>
      </c>
      <c r="S23" s="63">
        <f t="array" ref="S23">INDEX(Inputs!$C$28:$E$28,MATCH(S$5,Inputs!$C$18:$E$18,0))</f>
        <v>1500000</v>
      </c>
      <c r="T23" s="63">
        <f t="array" ref="T23">INDEX(Inputs!$C$28:$E$28,MATCH(T$5,Inputs!$C$18:$E$18,0))</f>
        <v>1100000</v>
      </c>
      <c r="U23" s="63">
        <f t="array" ref="U23">INDEX(Inputs!$C$28:$E$28,MATCH(U$5,Inputs!$C$18:$E$18,0))</f>
        <v>1200000</v>
      </c>
      <c r="V23" s="63">
        <f t="array" ref="V23">INDEX(Inputs!$C$28:$E$28,MATCH(V$5,Inputs!$C$18:$E$18,0))</f>
        <v>1500000</v>
      </c>
      <c r="W23" s="63">
        <f t="array" ref="W23">INDEX(Inputs!$C$28:$E$28,MATCH(W$5,Inputs!$C$18:$E$18,0))</f>
        <v>1100000</v>
      </c>
      <c r="X23" s="63">
        <f t="array" ref="X23">INDEX(Inputs!$C$28:$E$28,MATCH(X$5,Inputs!$C$18:$E$18,0))</f>
        <v>1200000</v>
      </c>
      <c r="Y23" s="63">
        <f t="array" ref="Y23">INDEX(Inputs!$C$28:$E$28,MATCH(Y$5,Inputs!$C$18:$E$18,0))</f>
        <v>1500000</v>
      </c>
      <c r="Z23" s="63">
        <f t="array" ref="Z23">INDEX(Inputs!$C$28:$E$28,MATCH(Z$5,Inputs!$C$18:$E$18,0))</f>
        <v>1100000</v>
      </c>
      <c r="AA23" s="63">
        <f t="array" ref="AA23">INDEX(Inputs!$C$28:$E$28,MATCH(AA$5,Inputs!$C$18:$E$18,0))</f>
        <v>1200000</v>
      </c>
      <c r="AB23" s="63">
        <f t="array" ref="AB23">INDEX(Inputs!$C$28:$E$28,MATCH(AB$5,Inputs!$C$18:$E$18,0))</f>
        <v>1500000</v>
      </c>
      <c r="AC23" s="63">
        <f t="array" ref="AC23">INDEX(Inputs!$C$28:$E$28,MATCH(AC$5,Inputs!$C$18:$E$18,0))</f>
        <v>1100000</v>
      </c>
      <c r="AD23" s="63">
        <f t="array" ref="AD23">INDEX(Inputs!$C$28:$E$28,MATCH(AD$5,Inputs!$C$18:$E$18,0))</f>
        <v>1200000</v>
      </c>
      <c r="AE23" s="63">
        <f t="array" ref="AE23">INDEX(Inputs!$C$28:$E$28,MATCH(AE$5,Inputs!$C$18:$E$18,0))</f>
        <v>1500000</v>
      </c>
      <c r="AF23" s="63">
        <f t="array" ref="AF23">INDEX(Inputs!$C$28:$E$28,MATCH(AF$5,Inputs!$C$18:$E$18,0))</f>
        <v>1100000</v>
      </c>
      <c r="AG23" s="63">
        <f t="array" ref="AG23">INDEX(Inputs!$C$28:$E$28,MATCH(AG$5,Inputs!$C$18:$E$18,0))</f>
        <v>1200000</v>
      </c>
      <c r="AH23" s="63">
        <f t="array" ref="AH23">INDEX(Inputs!$C$28:$E$28,MATCH(AH$5,Inputs!$C$18:$E$18,0))</f>
        <v>1500000</v>
      </c>
      <c r="AI23" s="63">
        <f t="array" ref="AI23">INDEX(Inputs!$C$28:$E$28,MATCH(AI$5,Inputs!$C$18:$E$18,0))</f>
        <v>1100000</v>
      </c>
    </row>
    <row r="24" ht="15.75" customHeight="1">
      <c r="A24" s="51" t="s">
        <v>195</v>
      </c>
      <c r="B24" s="3" t="s">
        <v>29</v>
      </c>
      <c r="C24" s="57">
        <f t="array" ref="C24">INDEX(Inputs!$C$29:$E$29,MATCH(C$5,Inputs!$C$18:$E$18,0))</f>
        <v>0.09</v>
      </c>
      <c r="D24" s="57">
        <f t="array" ref="D24">INDEX(Inputs!$C$29:$E$29,MATCH(D$5,Inputs!$C$18:$E$18,0))</f>
        <v>0.08</v>
      </c>
      <c r="E24" s="57">
        <f t="array" ref="E24">INDEX(Inputs!$C$29:$E$29,MATCH(E$5,Inputs!$C$18:$E$18,0))</f>
        <v>0.09</v>
      </c>
      <c r="F24" s="57">
        <f t="array" ref="F24">INDEX(Inputs!$C$29:$E$29,MATCH(F$5,Inputs!$C$18:$E$18,0))</f>
        <v>0.09</v>
      </c>
      <c r="G24" s="57">
        <f t="array" ref="G24">INDEX(Inputs!$C$29:$E$29,MATCH(G$5,Inputs!$C$18:$E$18,0))</f>
        <v>0.08</v>
      </c>
      <c r="H24" s="57">
        <f t="array" ref="H24">INDEX(Inputs!$C$29:$E$29,MATCH(H$5,Inputs!$C$18:$E$18,0))</f>
        <v>0.09</v>
      </c>
      <c r="I24" s="57">
        <f t="array" ref="I24">INDEX(Inputs!$C$29:$E$29,MATCH(I$5,Inputs!$C$18:$E$18,0))</f>
        <v>0.09</v>
      </c>
      <c r="J24" s="57">
        <f t="array" ref="J24">INDEX(Inputs!$C$29:$E$29,MATCH(J$5,Inputs!$C$18:$E$18,0))</f>
        <v>0.08</v>
      </c>
      <c r="K24" s="57">
        <f t="array" ref="K24">INDEX(Inputs!$C$29:$E$29,MATCH(K$5,Inputs!$C$18:$E$18,0))</f>
        <v>0.09</v>
      </c>
      <c r="L24" s="57">
        <f t="array" ref="L24">INDEX(Inputs!$C$29:$E$29,MATCH(L$5,Inputs!$C$18:$E$18,0))</f>
        <v>0.09</v>
      </c>
      <c r="M24" s="57">
        <f t="array" ref="M24">INDEX(Inputs!$C$29:$E$29,MATCH(M$5,Inputs!$C$18:$E$18,0))</f>
        <v>0.08</v>
      </c>
      <c r="N24" s="57">
        <f t="array" ref="N24">INDEX(Inputs!$C$29:$E$29,MATCH(N$5,Inputs!$C$18:$E$18,0))</f>
        <v>0.09</v>
      </c>
      <c r="O24" s="57">
        <f t="array" ref="O24">INDEX(Inputs!$C$29:$E$29,MATCH(O$5,Inputs!$C$18:$E$18,0))</f>
        <v>0.09</v>
      </c>
      <c r="P24" s="57">
        <f t="array" ref="P24">INDEX(Inputs!$C$29:$E$29,MATCH(P$5,Inputs!$C$18:$E$18,0))</f>
        <v>0.08</v>
      </c>
      <c r="Q24" s="57">
        <f t="array" ref="Q24">INDEX(Inputs!$C$29:$E$29,MATCH(Q$5,Inputs!$C$18:$E$18,0))</f>
        <v>0.09</v>
      </c>
      <c r="R24" s="57">
        <f t="array" ref="R24">INDEX(Inputs!$C$29:$E$29,MATCH(R$5,Inputs!$C$18:$E$18,0))</f>
        <v>0.09</v>
      </c>
      <c r="S24" s="57">
        <f t="array" ref="S24">INDEX(Inputs!$C$29:$E$29,MATCH(S$5,Inputs!$C$18:$E$18,0))</f>
        <v>0.08</v>
      </c>
      <c r="T24" s="57">
        <f t="array" ref="T24">INDEX(Inputs!$C$29:$E$29,MATCH(T$5,Inputs!$C$18:$E$18,0))</f>
        <v>0.09</v>
      </c>
      <c r="U24" s="57">
        <f t="array" ref="U24">INDEX(Inputs!$C$29:$E$29,MATCH(U$5,Inputs!$C$18:$E$18,0))</f>
        <v>0.09</v>
      </c>
      <c r="V24" s="57">
        <f t="array" ref="V24">INDEX(Inputs!$C$29:$E$29,MATCH(V$5,Inputs!$C$18:$E$18,0))</f>
        <v>0.08</v>
      </c>
      <c r="W24" s="57">
        <f t="array" ref="W24">INDEX(Inputs!$C$29:$E$29,MATCH(W$5,Inputs!$C$18:$E$18,0))</f>
        <v>0.09</v>
      </c>
      <c r="X24" s="57">
        <f t="array" ref="X24">INDEX(Inputs!$C$29:$E$29,MATCH(X$5,Inputs!$C$18:$E$18,0))</f>
        <v>0.09</v>
      </c>
      <c r="Y24" s="57">
        <f t="array" ref="Y24">INDEX(Inputs!$C$29:$E$29,MATCH(Y$5,Inputs!$C$18:$E$18,0))</f>
        <v>0.08</v>
      </c>
      <c r="Z24" s="57">
        <f t="array" ref="Z24">INDEX(Inputs!$C$29:$E$29,MATCH(Z$5,Inputs!$C$18:$E$18,0))</f>
        <v>0.09</v>
      </c>
      <c r="AA24" s="57">
        <f t="array" ref="AA24">INDEX(Inputs!$C$29:$E$29,MATCH(AA$5,Inputs!$C$18:$E$18,0))</f>
        <v>0.09</v>
      </c>
      <c r="AB24" s="57">
        <f t="array" ref="AB24">INDEX(Inputs!$C$29:$E$29,MATCH(AB$5,Inputs!$C$18:$E$18,0))</f>
        <v>0.08</v>
      </c>
      <c r="AC24" s="57">
        <f t="array" ref="AC24">INDEX(Inputs!$C$29:$E$29,MATCH(AC$5,Inputs!$C$18:$E$18,0))</f>
        <v>0.09</v>
      </c>
      <c r="AD24" s="57">
        <f t="array" ref="AD24">INDEX(Inputs!$C$29:$E$29,MATCH(AD$5,Inputs!$C$18:$E$18,0))</f>
        <v>0.09</v>
      </c>
      <c r="AE24" s="57">
        <f t="array" ref="AE24">INDEX(Inputs!$C$29:$E$29,MATCH(AE$5,Inputs!$C$18:$E$18,0))</f>
        <v>0.08</v>
      </c>
      <c r="AF24" s="57">
        <f t="array" ref="AF24">INDEX(Inputs!$C$29:$E$29,MATCH(AF$5,Inputs!$C$18:$E$18,0))</f>
        <v>0.09</v>
      </c>
      <c r="AG24" s="57">
        <f t="array" ref="AG24">INDEX(Inputs!$C$29:$E$29,MATCH(AG$5,Inputs!$C$18:$E$18,0))</f>
        <v>0.09</v>
      </c>
      <c r="AH24" s="57">
        <f t="array" ref="AH24">INDEX(Inputs!$C$29:$E$29,MATCH(AH$5,Inputs!$C$18:$E$18,0))</f>
        <v>0.08</v>
      </c>
      <c r="AI24" s="57">
        <f t="array" ref="AI24">INDEX(Inputs!$C$29:$E$29,MATCH(AI$5,Inputs!$C$18:$E$18,0))</f>
        <v>0.09</v>
      </c>
    </row>
    <row r="25" ht="15.75" customHeight="1">
      <c r="A25" s="51" t="s">
        <v>291</v>
      </c>
      <c r="B25" s="3" t="s">
        <v>109</v>
      </c>
      <c r="C25" s="61">
        <f t="array" ref="C25">INDEX(Inputs!$C$30:$E$30,MATCH(C$5,Inputs!$C$18:$E$18,0))</f>
        <v>0.12</v>
      </c>
      <c r="D25" s="61">
        <f t="array" ref="D25">INDEX(Inputs!$C$30:$E$30,MATCH(D$5,Inputs!$C$18:$E$18,0))</f>
        <v>0.45</v>
      </c>
      <c r="E25" s="61">
        <f t="array" ref="E25">INDEX(Inputs!$C$30:$E$30,MATCH(E$5,Inputs!$C$18:$E$18,0))</f>
        <v>0.55</v>
      </c>
      <c r="F25" s="61">
        <f t="array" ref="F25">INDEX(Inputs!$C$30:$E$30,MATCH(F$5,Inputs!$C$18:$E$18,0))</f>
        <v>0.12</v>
      </c>
      <c r="G25" s="61">
        <f t="array" ref="G25">INDEX(Inputs!$C$30:$E$30,MATCH(G$5,Inputs!$C$18:$E$18,0))</f>
        <v>0.45</v>
      </c>
      <c r="H25" s="61">
        <f t="array" ref="H25">INDEX(Inputs!$C$30:$E$30,MATCH(H$5,Inputs!$C$18:$E$18,0))</f>
        <v>0.55</v>
      </c>
      <c r="I25" s="61">
        <f t="array" ref="I25">INDEX(Inputs!$C$30:$E$30,MATCH(I$5,Inputs!$C$18:$E$18,0))</f>
        <v>0.12</v>
      </c>
      <c r="J25" s="61">
        <f t="array" ref="J25">INDEX(Inputs!$C$30:$E$30,MATCH(J$5,Inputs!$C$18:$E$18,0))</f>
        <v>0.45</v>
      </c>
      <c r="K25" s="61">
        <f t="array" ref="K25">INDEX(Inputs!$C$30:$E$30,MATCH(K$5,Inputs!$C$18:$E$18,0))</f>
        <v>0.55</v>
      </c>
      <c r="L25" s="61">
        <f t="array" ref="L25">INDEX(Inputs!$C$30:$E$30,MATCH(L$5,Inputs!$C$18:$E$18,0))</f>
        <v>0.12</v>
      </c>
      <c r="M25" s="61">
        <f t="array" ref="M25">INDEX(Inputs!$C$30:$E$30,MATCH(M$5,Inputs!$C$18:$E$18,0))</f>
        <v>0.45</v>
      </c>
      <c r="N25" s="61">
        <f t="array" ref="N25">INDEX(Inputs!$C$30:$E$30,MATCH(N$5,Inputs!$C$18:$E$18,0))</f>
        <v>0.55</v>
      </c>
      <c r="O25" s="61">
        <f t="array" ref="O25">INDEX(Inputs!$C$30:$E$30,MATCH(O$5,Inputs!$C$18:$E$18,0))</f>
        <v>0.12</v>
      </c>
      <c r="P25" s="61">
        <f t="array" ref="P25">INDEX(Inputs!$C$30:$E$30,MATCH(P$5,Inputs!$C$18:$E$18,0))</f>
        <v>0.45</v>
      </c>
      <c r="Q25" s="61">
        <f t="array" ref="Q25">INDEX(Inputs!$C$30:$E$30,MATCH(Q$5,Inputs!$C$18:$E$18,0))</f>
        <v>0.55</v>
      </c>
      <c r="R25" s="61">
        <f t="array" ref="R25">INDEX(Inputs!$C$30:$E$30,MATCH(R$5,Inputs!$C$18:$E$18,0))</f>
        <v>0.12</v>
      </c>
      <c r="S25" s="61">
        <f t="array" ref="S25">INDEX(Inputs!$C$30:$E$30,MATCH(S$5,Inputs!$C$18:$E$18,0))</f>
        <v>0.45</v>
      </c>
      <c r="T25" s="61">
        <f t="array" ref="T25">INDEX(Inputs!$C$30:$E$30,MATCH(T$5,Inputs!$C$18:$E$18,0))</f>
        <v>0.55</v>
      </c>
      <c r="U25" s="61">
        <f t="array" ref="U25">INDEX(Inputs!$C$30:$E$30,MATCH(U$5,Inputs!$C$18:$E$18,0))</f>
        <v>0.12</v>
      </c>
      <c r="V25" s="61">
        <f t="array" ref="V25">INDEX(Inputs!$C$30:$E$30,MATCH(V$5,Inputs!$C$18:$E$18,0))</f>
        <v>0.45</v>
      </c>
      <c r="W25" s="61">
        <f t="array" ref="W25">INDEX(Inputs!$C$30:$E$30,MATCH(W$5,Inputs!$C$18:$E$18,0))</f>
        <v>0.55</v>
      </c>
      <c r="X25" s="61">
        <f t="array" ref="X25">INDEX(Inputs!$C$30:$E$30,MATCH(X$5,Inputs!$C$18:$E$18,0))</f>
        <v>0.12</v>
      </c>
      <c r="Y25" s="61">
        <f t="array" ref="Y25">INDEX(Inputs!$C$30:$E$30,MATCH(Y$5,Inputs!$C$18:$E$18,0))</f>
        <v>0.45</v>
      </c>
      <c r="Z25" s="61">
        <f t="array" ref="Z25">INDEX(Inputs!$C$30:$E$30,MATCH(Z$5,Inputs!$C$18:$E$18,0))</f>
        <v>0.55</v>
      </c>
      <c r="AA25" s="61">
        <f t="array" ref="AA25">INDEX(Inputs!$C$30:$E$30,MATCH(AA$5,Inputs!$C$18:$E$18,0))</f>
        <v>0.12</v>
      </c>
      <c r="AB25" s="61">
        <f t="array" ref="AB25">INDEX(Inputs!$C$30:$E$30,MATCH(AB$5,Inputs!$C$18:$E$18,0))</f>
        <v>0.45</v>
      </c>
      <c r="AC25" s="61">
        <f t="array" ref="AC25">INDEX(Inputs!$C$30:$E$30,MATCH(AC$5,Inputs!$C$18:$E$18,0))</f>
        <v>0.55</v>
      </c>
      <c r="AD25" s="61">
        <f t="array" ref="AD25">INDEX(Inputs!$C$30:$E$30,MATCH(AD$5,Inputs!$C$18:$E$18,0))</f>
        <v>0.12</v>
      </c>
      <c r="AE25" s="61">
        <f t="array" ref="AE25">INDEX(Inputs!$C$30:$E$30,MATCH(AE$5,Inputs!$C$18:$E$18,0))</f>
        <v>0.45</v>
      </c>
      <c r="AF25" s="61">
        <f t="array" ref="AF25">INDEX(Inputs!$C$30:$E$30,MATCH(AF$5,Inputs!$C$18:$E$18,0))</f>
        <v>0.55</v>
      </c>
      <c r="AG25" s="61">
        <f t="array" ref="AG25">INDEX(Inputs!$C$30:$E$30,MATCH(AG$5,Inputs!$C$18:$E$18,0))</f>
        <v>0.12</v>
      </c>
      <c r="AH25" s="61">
        <f t="array" ref="AH25">INDEX(Inputs!$C$30:$E$30,MATCH(AH$5,Inputs!$C$18:$E$18,0))</f>
        <v>0.45</v>
      </c>
      <c r="AI25" s="61">
        <f t="array" ref="AI25">INDEX(Inputs!$C$30:$E$30,MATCH(AI$5,Inputs!$C$18:$E$18,0))</f>
        <v>0.55</v>
      </c>
    </row>
    <row r="26" ht="15.75" customHeight="1">
      <c r="A26" s="51" t="s">
        <v>292</v>
      </c>
      <c r="B26" s="3" t="s">
        <v>109</v>
      </c>
      <c r="C26" s="61">
        <f t="array" ref="C26">INDEX(Inputs!$C$31:$E$31,MATCH(C$5,Inputs!$C$18:$E$18,0))</f>
        <v>0</v>
      </c>
      <c r="D26" s="61">
        <f t="array" ref="D26">INDEX(Inputs!$C$31:$E$31,MATCH(D$5,Inputs!$C$18:$E$18,0))</f>
        <v>4.2</v>
      </c>
      <c r="E26" s="61">
        <f t="array" ref="E26">INDEX(Inputs!$C$31:$E$31,MATCH(E$5,Inputs!$C$18:$E$18,0))</f>
        <v>4.8</v>
      </c>
      <c r="F26" s="61">
        <f t="array" ref="F26">INDEX(Inputs!$C$31:$E$31,MATCH(F$5,Inputs!$C$18:$E$18,0))</f>
        <v>0</v>
      </c>
      <c r="G26" s="61">
        <f t="array" ref="G26">INDEX(Inputs!$C$31:$E$31,MATCH(G$5,Inputs!$C$18:$E$18,0))</f>
        <v>4.2</v>
      </c>
      <c r="H26" s="61">
        <f t="array" ref="H26">INDEX(Inputs!$C$31:$E$31,MATCH(H$5,Inputs!$C$18:$E$18,0))</f>
        <v>4.8</v>
      </c>
      <c r="I26" s="61">
        <f t="array" ref="I26">INDEX(Inputs!$C$31:$E$31,MATCH(I$5,Inputs!$C$18:$E$18,0))</f>
        <v>0</v>
      </c>
      <c r="J26" s="61">
        <f t="array" ref="J26">INDEX(Inputs!$C$31:$E$31,MATCH(J$5,Inputs!$C$18:$E$18,0))</f>
        <v>4.2</v>
      </c>
      <c r="K26" s="61">
        <f t="array" ref="K26">INDEX(Inputs!$C$31:$E$31,MATCH(K$5,Inputs!$C$18:$E$18,0))</f>
        <v>4.8</v>
      </c>
      <c r="L26" s="61">
        <f t="array" ref="L26">INDEX(Inputs!$C$31:$E$31,MATCH(L$5,Inputs!$C$18:$E$18,0))</f>
        <v>0</v>
      </c>
      <c r="M26" s="61">
        <f t="array" ref="M26">INDEX(Inputs!$C$31:$E$31,MATCH(M$5,Inputs!$C$18:$E$18,0))</f>
        <v>4.2</v>
      </c>
      <c r="N26" s="61">
        <f t="array" ref="N26">INDEX(Inputs!$C$31:$E$31,MATCH(N$5,Inputs!$C$18:$E$18,0))</f>
        <v>4.8</v>
      </c>
      <c r="O26" s="61">
        <f t="array" ref="O26">INDEX(Inputs!$C$31:$E$31,MATCH(O$5,Inputs!$C$18:$E$18,0))</f>
        <v>0</v>
      </c>
      <c r="P26" s="61">
        <f t="array" ref="P26">INDEX(Inputs!$C$31:$E$31,MATCH(P$5,Inputs!$C$18:$E$18,0))</f>
        <v>4.2</v>
      </c>
      <c r="Q26" s="61">
        <f t="array" ref="Q26">INDEX(Inputs!$C$31:$E$31,MATCH(Q$5,Inputs!$C$18:$E$18,0))</f>
        <v>4.8</v>
      </c>
      <c r="R26" s="61">
        <f t="array" ref="R26">INDEX(Inputs!$C$31:$E$31,MATCH(R$5,Inputs!$C$18:$E$18,0))</f>
        <v>0</v>
      </c>
      <c r="S26" s="61">
        <f t="array" ref="S26">INDEX(Inputs!$C$31:$E$31,MATCH(S$5,Inputs!$C$18:$E$18,0))</f>
        <v>4.2</v>
      </c>
      <c r="T26" s="61">
        <f t="array" ref="T26">INDEX(Inputs!$C$31:$E$31,MATCH(T$5,Inputs!$C$18:$E$18,0))</f>
        <v>4.8</v>
      </c>
      <c r="U26" s="61">
        <f t="array" ref="U26">INDEX(Inputs!$C$31:$E$31,MATCH(U$5,Inputs!$C$18:$E$18,0))</f>
        <v>0</v>
      </c>
      <c r="V26" s="61">
        <f t="array" ref="V26">INDEX(Inputs!$C$31:$E$31,MATCH(V$5,Inputs!$C$18:$E$18,0))</f>
        <v>4.2</v>
      </c>
      <c r="W26" s="61">
        <f t="array" ref="W26">INDEX(Inputs!$C$31:$E$31,MATCH(W$5,Inputs!$C$18:$E$18,0))</f>
        <v>4.8</v>
      </c>
      <c r="X26" s="61">
        <f t="array" ref="X26">INDEX(Inputs!$C$31:$E$31,MATCH(X$5,Inputs!$C$18:$E$18,0))</f>
        <v>0</v>
      </c>
      <c r="Y26" s="61">
        <f t="array" ref="Y26">INDEX(Inputs!$C$31:$E$31,MATCH(Y$5,Inputs!$C$18:$E$18,0))</f>
        <v>4.2</v>
      </c>
      <c r="Z26" s="61">
        <f t="array" ref="Z26">INDEX(Inputs!$C$31:$E$31,MATCH(Z$5,Inputs!$C$18:$E$18,0))</f>
        <v>4.8</v>
      </c>
      <c r="AA26" s="61">
        <f t="array" ref="AA26">INDEX(Inputs!$C$31:$E$31,MATCH(AA$5,Inputs!$C$18:$E$18,0))</f>
        <v>0</v>
      </c>
      <c r="AB26" s="61">
        <f t="array" ref="AB26">INDEX(Inputs!$C$31:$E$31,MATCH(AB$5,Inputs!$C$18:$E$18,0))</f>
        <v>4.2</v>
      </c>
      <c r="AC26" s="61">
        <f t="array" ref="AC26">INDEX(Inputs!$C$31:$E$31,MATCH(AC$5,Inputs!$C$18:$E$18,0))</f>
        <v>4.8</v>
      </c>
      <c r="AD26" s="61">
        <f t="array" ref="AD26">INDEX(Inputs!$C$31:$E$31,MATCH(AD$5,Inputs!$C$18:$E$18,0))</f>
        <v>0</v>
      </c>
      <c r="AE26" s="61">
        <f t="array" ref="AE26">INDEX(Inputs!$C$31:$E$31,MATCH(AE$5,Inputs!$C$18:$E$18,0))</f>
        <v>4.2</v>
      </c>
      <c r="AF26" s="61">
        <f t="array" ref="AF26">INDEX(Inputs!$C$31:$E$31,MATCH(AF$5,Inputs!$C$18:$E$18,0))</f>
        <v>4.8</v>
      </c>
      <c r="AG26" s="61">
        <f t="array" ref="AG26">INDEX(Inputs!$C$31:$E$31,MATCH(AG$5,Inputs!$C$18:$E$18,0))</f>
        <v>0</v>
      </c>
      <c r="AH26" s="61">
        <f t="array" ref="AH26">INDEX(Inputs!$C$31:$E$31,MATCH(AH$5,Inputs!$C$18:$E$18,0))</f>
        <v>4.2</v>
      </c>
      <c r="AI26" s="61">
        <f t="array" ref="AI26">INDEX(Inputs!$C$31:$E$31,MATCH(AI$5,Inputs!$C$18:$E$18,0))</f>
        <v>4.8</v>
      </c>
    </row>
    <row r="27" ht="15.75" customHeight="1">
      <c r="A27" s="51" t="s">
        <v>293</v>
      </c>
      <c r="B27" s="3" t="s">
        <v>29</v>
      </c>
      <c r="C27" s="57">
        <f t="array" ref="C27">INDEX(Inputs!$C$32:$E$32,MATCH(C$5,Inputs!$C$18:$E$18,0))</f>
        <v>0</v>
      </c>
      <c r="D27" s="57">
        <f t="array" ref="D27">INDEX(Inputs!$C$32:$E$32,MATCH(D$5,Inputs!$C$18:$E$18,0))</f>
        <v>0.4</v>
      </c>
      <c r="E27" s="57">
        <f t="array" ref="E27">INDEX(Inputs!$C$32:$E$32,MATCH(E$5,Inputs!$C$18:$E$18,0))</f>
        <v>0.4</v>
      </c>
      <c r="F27" s="57">
        <f t="array" ref="F27">INDEX(Inputs!$C$32:$E$32,MATCH(F$5,Inputs!$C$18:$E$18,0))</f>
        <v>0</v>
      </c>
      <c r="G27" s="57">
        <f t="array" ref="G27">INDEX(Inputs!$C$32:$E$32,MATCH(G$5,Inputs!$C$18:$E$18,0))</f>
        <v>0.4</v>
      </c>
      <c r="H27" s="57">
        <f t="array" ref="H27">INDEX(Inputs!$C$32:$E$32,MATCH(H$5,Inputs!$C$18:$E$18,0))</f>
        <v>0.4</v>
      </c>
      <c r="I27" s="57">
        <f t="array" ref="I27">INDEX(Inputs!$C$32:$E$32,MATCH(I$5,Inputs!$C$18:$E$18,0))</f>
        <v>0</v>
      </c>
      <c r="J27" s="57">
        <f t="array" ref="J27">INDEX(Inputs!$C$32:$E$32,MATCH(J$5,Inputs!$C$18:$E$18,0))</f>
        <v>0.4</v>
      </c>
      <c r="K27" s="57">
        <f t="array" ref="K27">INDEX(Inputs!$C$32:$E$32,MATCH(K$5,Inputs!$C$18:$E$18,0))</f>
        <v>0.4</v>
      </c>
      <c r="L27" s="57">
        <f t="array" ref="L27">INDEX(Inputs!$C$32:$E$32,MATCH(L$5,Inputs!$C$18:$E$18,0))</f>
        <v>0</v>
      </c>
      <c r="M27" s="57">
        <f t="array" ref="M27">INDEX(Inputs!$C$32:$E$32,MATCH(M$5,Inputs!$C$18:$E$18,0))</f>
        <v>0.4</v>
      </c>
      <c r="N27" s="57">
        <f t="array" ref="N27">INDEX(Inputs!$C$32:$E$32,MATCH(N$5,Inputs!$C$18:$E$18,0))</f>
        <v>0.4</v>
      </c>
      <c r="O27" s="57">
        <f t="array" ref="O27">INDEX(Inputs!$C$32:$E$32,MATCH(O$5,Inputs!$C$18:$E$18,0))</f>
        <v>0</v>
      </c>
      <c r="P27" s="57">
        <f t="array" ref="P27">INDEX(Inputs!$C$32:$E$32,MATCH(P$5,Inputs!$C$18:$E$18,0))</f>
        <v>0.4</v>
      </c>
      <c r="Q27" s="57">
        <f t="array" ref="Q27">INDEX(Inputs!$C$32:$E$32,MATCH(Q$5,Inputs!$C$18:$E$18,0))</f>
        <v>0.4</v>
      </c>
      <c r="R27" s="57">
        <f t="array" ref="R27">INDEX(Inputs!$C$32:$E$32,MATCH(R$5,Inputs!$C$18:$E$18,0))</f>
        <v>0</v>
      </c>
      <c r="S27" s="57">
        <f t="array" ref="S27">INDEX(Inputs!$C$32:$E$32,MATCH(S$5,Inputs!$C$18:$E$18,0))</f>
        <v>0.4</v>
      </c>
      <c r="T27" s="57">
        <f t="array" ref="T27">INDEX(Inputs!$C$32:$E$32,MATCH(T$5,Inputs!$C$18:$E$18,0))</f>
        <v>0.4</v>
      </c>
      <c r="U27" s="57">
        <f t="array" ref="U27">INDEX(Inputs!$C$32:$E$32,MATCH(U$5,Inputs!$C$18:$E$18,0))</f>
        <v>0</v>
      </c>
      <c r="V27" s="57">
        <f t="array" ref="V27">INDEX(Inputs!$C$32:$E$32,MATCH(V$5,Inputs!$C$18:$E$18,0))</f>
        <v>0.4</v>
      </c>
      <c r="W27" s="57">
        <f t="array" ref="W27">INDEX(Inputs!$C$32:$E$32,MATCH(W$5,Inputs!$C$18:$E$18,0))</f>
        <v>0.4</v>
      </c>
      <c r="X27" s="57">
        <f t="array" ref="X27">INDEX(Inputs!$C$32:$E$32,MATCH(X$5,Inputs!$C$18:$E$18,0))</f>
        <v>0</v>
      </c>
      <c r="Y27" s="57">
        <f t="array" ref="Y27">INDEX(Inputs!$C$32:$E$32,MATCH(Y$5,Inputs!$C$18:$E$18,0))</f>
        <v>0.4</v>
      </c>
      <c r="Z27" s="57">
        <f t="array" ref="Z27">INDEX(Inputs!$C$32:$E$32,MATCH(Z$5,Inputs!$C$18:$E$18,0))</f>
        <v>0.4</v>
      </c>
      <c r="AA27" s="57">
        <f t="array" ref="AA27">INDEX(Inputs!$C$32:$E$32,MATCH(AA$5,Inputs!$C$18:$E$18,0))</f>
        <v>0</v>
      </c>
      <c r="AB27" s="57">
        <f t="array" ref="AB27">INDEX(Inputs!$C$32:$E$32,MATCH(AB$5,Inputs!$C$18:$E$18,0))</f>
        <v>0.4</v>
      </c>
      <c r="AC27" s="57">
        <f t="array" ref="AC27">INDEX(Inputs!$C$32:$E$32,MATCH(AC$5,Inputs!$C$18:$E$18,0))</f>
        <v>0.4</v>
      </c>
      <c r="AD27" s="57">
        <f t="array" ref="AD27">INDEX(Inputs!$C$32:$E$32,MATCH(AD$5,Inputs!$C$18:$E$18,0))</f>
        <v>0</v>
      </c>
      <c r="AE27" s="57">
        <f t="array" ref="AE27">INDEX(Inputs!$C$32:$E$32,MATCH(AE$5,Inputs!$C$18:$E$18,0))</f>
        <v>0.4</v>
      </c>
      <c r="AF27" s="57">
        <f t="array" ref="AF27">INDEX(Inputs!$C$32:$E$32,MATCH(AF$5,Inputs!$C$18:$E$18,0))</f>
        <v>0.4</v>
      </c>
      <c r="AG27" s="57">
        <f t="array" ref="AG27">INDEX(Inputs!$C$32:$E$32,MATCH(AG$5,Inputs!$C$18:$E$18,0))</f>
        <v>0</v>
      </c>
      <c r="AH27" s="57">
        <f t="array" ref="AH27">INDEX(Inputs!$C$32:$E$32,MATCH(AH$5,Inputs!$C$18:$E$18,0))</f>
        <v>0.4</v>
      </c>
      <c r="AI27" s="57">
        <f t="array" ref="AI27">INDEX(Inputs!$C$32:$E$32,MATCH(AI$5,Inputs!$C$18:$E$18,0))</f>
        <v>0.4</v>
      </c>
    </row>
    <row r="28" ht="15.75" customHeight="1">
      <c r="A28" s="51" t="s">
        <v>294</v>
      </c>
      <c r="B28" s="3" t="s">
        <v>117</v>
      </c>
      <c r="C28" s="59">
        <f t="array" ref="C28">INDEX(Inputs!$C$33:$E$33,MATCH(C$5,Inputs!$C$18:$E$18,0))</f>
        <v>2</v>
      </c>
      <c r="D28" s="59">
        <f t="array" ref="D28">INDEX(Inputs!$C$33:$E$33,MATCH(D$5,Inputs!$C$18:$E$18,0))</f>
        <v>25</v>
      </c>
      <c r="E28" s="59">
        <f t="array" ref="E28">INDEX(Inputs!$C$33:$E$33,MATCH(E$5,Inputs!$C$18:$E$18,0))</f>
        <v>18</v>
      </c>
      <c r="F28" s="59">
        <f t="array" ref="F28">INDEX(Inputs!$C$33:$E$33,MATCH(F$5,Inputs!$C$18:$E$18,0))</f>
        <v>2</v>
      </c>
      <c r="G28" s="59">
        <f t="array" ref="G28">INDEX(Inputs!$C$33:$E$33,MATCH(G$5,Inputs!$C$18:$E$18,0))</f>
        <v>25</v>
      </c>
      <c r="H28" s="59">
        <f t="array" ref="H28">INDEX(Inputs!$C$33:$E$33,MATCH(H$5,Inputs!$C$18:$E$18,0))</f>
        <v>18</v>
      </c>
      <c r="I28" s="59">
        <f t="array" ref="I28">INDEX(Inputs!$C$33:$E$33,MATCH(I$5,Inputs!$C$18:$E$18,0))</f>
        <v>2</v>
      </c>
      <c r="J28" s="59">
        <f t="array" ref="J28">INDEX(Inputs!$C$33:$E$33,MATCH(J$5,Inputs!$C$18:$E$18,0))</f>
        <v>25</v>
      </c>
      <c r="K28" s="59">
        <f t="array" ref="K28">INDEX(Inputs!$C$33:$E$33,MATCH(K$5,Inputs!$C$18:$E$18,0))</f>
        <v>18</v>
      </c>
      <c r="L28" s="59">
        <f t="array" ref="L28">INDEX(Inputs!$C$33:$E$33,MATCH(L$5,Inputs!$C$18:$E$18,0))</f>
        <v>2</v>
      </c>
      <c r="M28" s="59">
        <f t="array" ref="M28">INDEX(Inputs!$C$33:$E$33,MATCH(M$5,Inputs!$C$18:$E$18,0))</f>
        <v>25</v>
      </c>
      <c r="N28" s="59">
        <f t="array" ref="N28">INDEX(Inputs!$C$33:$E$33,MATCH(N$5,Inputs!$C$18:$E$18,0))</f>
        <v>18</v>
      </c>
      <c r="O28" s="59">
        <f t="array" ref="O28">INDEX(Inputs!$C$33:$E$33,MATCH(O$5,Inputs!$C$18:$E$18,0))</f>
        <v>2</v>
      </c>
      <c r="P28" s="59">
        <f t="array" ref="P28">INDEX(Inputs!$C$33:$E$33,MATCH(P$5,Inputs!$C$18:$E$18,0))</f>
        <v>25</v>
      </c>
      <c r="Q28" s="59">
        <f t="array" ref="Q28">INDEX(Inputs!$C$33:$E$33,MATCH(Q$5,Inputs!$C$18:$E$18,0))</f>
        <v>18</v>
      </c>
      <c r="R28" s="59">
        <f t="array" ref="R28">INDEX(Inputs!$C$33:$E$33,MATCH(R$5,Inputs!$C$18:$E$18,0))</f>
        <v>2</v>
      </c>
      <c r="S28" s="59">
        <f t="array" ref="S28">INDEX(Inputs!$C$33:$E$33,MATCH(S$5,Inputs!$C$18:$E$18,0))</f>
        <v>25</v>
      </c>
      <c r="T28" s="59">
        <f t="array" ref="T28">INDEX(Inputs!$C$33:$E$33,MATCH(T$5,Inputs!$C$18:$E$18,0))</f>
        <v>18</v>
      </c>
      <c r="U28" s="59">
        <f t="array" ref="U28">INDEX(Inputs!$C$33:$E$33,MATCH(U$5,Inputs!$C$18:$E$18,0))</f>
        <v>2</v>
      </c>
      <c r="V28" s="59">
        <f t="array" ref="V28">INDEX(Inputs!$C$33:$E$33,MATCH(V$5,Inputs!$C$18:$E$18,0))</f>
        <v>25</v>
      </c>
      <c r="W28" s="59">
        <f t="array" ref="W28">INDEX(Inputs!$C$33:$E$33,MATCH(W$5,Inputs!$C$18:$E$18,0))</f>
        <v>18</v>
      </c>
      <c r="X28" s="59">
        <f t="array" ref="X28">INDEX(Inputs!$C$33:$E$33,MATCH(X$5,Inputs!$C$18:$E$18,0))</f>
        <v>2</v>
      </c>
      <c r="Y28" s="59">
        <f t="array" ref="Y28">INDEX(Inputs!$C$33:$E$33,MATCH(Y$5,Inputs!$C$18:$E$18,0))</f>
        <v>25</v>
      </c>
      <c r="Z28" s="59">
        <f t="array" ref="Z28">INDEX(Inputs!$C$33:$E$33,MATCH(Z$5,Inputs!$C$18:$E$18,0))</f>
        <v>18</v>
      </c>
      <c r="AA28" s="59">
        <f t="array" ref="AA28">INDEX(Inputs!$C$33:$E$33,MATCH(AA$5,Inputs!$C$18:$E$18,0))</f>
        <v>2</v>
      </c>
      <c r="AB28" s="59">
        <f t="array" ref="AB28">INDEX(Inputs!$C$33:$E$33,MATCH(AB$5,Inputs!$C$18:$E$18,0))</f>
        <v>25</v>
      </c>
      <c r="AC28" s="59">
        <f t="array" ref="AC28">INDEX(Inputs!$C$33:$E$33,MATCH(AC$5,Inputs!$C$18:$E$18,0))</f>
        <v>18</v>
      </c>
      <c r="AD28" s="59">
        <f t="array" ref="AD28">INDEX(Inputs!$C$33:$E$33,MATCH(AD$5,Inputs!$C$18:$E$18,0))</f>
        <v>2</v>
      </c>
      <c r="AE28" s="59">
        <f t="array" ref="AE28">INDEX(Inputs!$C$33:$E$33,MATCH(AE$5,Inputs!$C$18:$E$18,0))</f>
        <v>25</v>
      </c>
      <c r="AF28" s="59">
        <f t="array" ref="AF28">INDEX(Inputs!$C$33:$E$33,MATCH(AF$5,Inputs!$C$18:$E$18,0))</f>
        <v>18</v>
      </c>
      <c r="AG28" s="59">
        <f t="array" ref="AG28">INDEX(Inputs!$C$33:$E$33,MATCH(AG$5,Inputs!$C$18:$E$18,0))</f>
        <v>2</v>
      </c>
      <c r="AH28" s="59">
        <f t="array" ref="AH28">INDEX(Inputs!$C$33:$E$33,MATCH(AH$5,Inputs!$C$18:$E$18,0))</f>
        <v>25</v>
      </c>
      <c r="AI28" s="59">
        <f t="array" ref="AI28">INDEX(Inputs!$C$33:$E$33,MATCH(AI$5,Inputs!$C$18:$E$18,0))</f>
        <v>18</v>
      </c>
    </row>
    <row r="29" ht="15.75" customHeight="1">
      <c r="A29" s="51" t="s">
        <v>295</v>
      </c>
      <c r="B29" s="3" t="s">
        <v>117</v>
      </c>
      <c r="C29" s="59">
        <f t="array" ref="C29">INDEX(Inputs!$C$34:$E$34,MATCH(C$5,Inputs!$C$18:$E$18,0))</f>
        <v>2</v>
      </c>
      <c r="D29" s="59">
        <f t="array" ref="D29">INDEX(Inputs!$C$34:$E$34,MATCH(D$5,Inputs!$C$18:$E$18,0))</f>
        <v>4</v>
      </c>
      <c r="E29" s="59">
        <f t="array" ref="E29">INDEX(Inputs!$C$34:$E$34,MATCH(E$5,Inputs!$C$18:$E$18,0))</f>
        <v>4</v>
      </c>
      <c r="F29" s="59">
        <f t="array" ref="F29">INDEX(Inputs!$C$34:$E$34,MATCH(F$5,Inputs!$C$18:$E$18,0))</f>
        <v>2</v>
      </c>
      <c r="G29" s="59">
        <f t="array" ref="G29">INDEX(Inputs!$C$34:$E$34,MATCH(G$5,Inputs!$C$18:$E$18,0))</f>
        <v>4</v>
      </c>
      <c r="H29" s="59">
        <f t="array" ref="H29">INDEX(Inputs!$C$34:$E$34,MATCH(H$5,Inputs!$C$18:$E$18,0))</f>
        <v>4</v>
      </c>
      <c r="I29" s="59">
        <f t="array" ref="I29">INDEX(Inputs!$C$34:$E$34,MATCH(I$5,Inputs!$C$18:$E$18,0))</f>
        <v>2</v>
      </c>
      <c r="J29" s="59">
        <f t="array" ref="J29">INDEX(Inputs!$C$34:$E$34,MATCH(J$5,Inputs!$C$18:$E$18,0))</f>
        <v>4</v>
      </c>
      <c r="K29" s="59">
        <f t="array" ref="K29">INDEX(Inputs!$C$34:$E$34,MATCH(K$5,Inputs!$C$18:$E$18,0))</f>
        <v>4</v>
      </c>
      <c r="L29" s="59">
        <f t="array" ref="L29">INDEX(Inputs!$C$34:$E$34,MATCH(L$5,Inputs!$C$18:$E$18,0))</f>
        <v>2</v>
      </c>
      <c r="M29" s="59">
        <f t="array" ref="M29">INDEX(Inputs!$C$34:$E$34,MATCH(M$5,Inputs!$C$18:$E$18,0))</f>
        <v>4</v>
      </c>
      <c r="N29" s="59">
        <f t="array" ref="N29">INDEX(Inputs!$C$34:$E$34,MATCH(N$5,Inputs!$C$18:$E$18,0))</f>
        <v>4</v>
      </c>
      <c r="O29" s="59">
        <f t="array" ref="O29">INDEX(Inputs!$C$34:$E$34,MATCH(O$5,Inputs!$C$18:$E$18,0))</f>
        <v>2</v>
      </c>
      <c r="P29" s="59">
        <f t="array" ref="P29">INDEX(Inputs!$C$34:$E$34,MATCH(P$5,Inputs!$C$18:$E$18,0))</f>
        <v>4</v>
      </c>
      <c r="Q29" s="59">
        <f t="array" ref="Q29">INDEX(Inputs!$C$34:$E$34,MATCH(Q$5,Inputs!$C$18:$E$18,0))</f>
        <v>4</v>
      </c>
      <c r="R29" s="59">
        <f t="array" ref="R29">INDEX(Inputs!$C$34:$E$34,MATCH(R$5,Inputs!$C$18:$E$18,0))</f>
        <v>2</v>
      </c>
      <c r="S29" s="59">
        <f t="array" ref="S29">INDEX(Inputs!$C$34:$E$34,MATCH(S$5,Inputs!$C$18:$E$18,0))</f>
        <v>4</v>
      </c>
      <c r="T29" s="59">
        <f t="array" ref="T29">INDEX(Inputs!$C$34:$E$34,MATCH(T$5,Inputs!$C$18:$E$18,0))</f>
        <v>4</v>
      </c>
      <c r="U29" s="59">
        <f t="array" ref="U29">INDEX(Inputs!$C$34:$E$34,MATCH(U$5,Inputs!$C$18:$E$18,0))</f>
        <v>2</v>
      </c>
      <c r="V29" s="59">
        <f t="array" ref="V29">INDEX(Inputs!$C$34:$E$34,MATCH(V$5,Inputs!$C$18:$E$18,0))</f>
        <v>4</v>
      </c>
      <c r="W29" s="59">
        <f t="array" ref="W29">INDEX(Inputs!$C$34:$E$34,MATCH(W$5,Inputs!$C$18:$E$18,0))</f>
        <v>4</v>
      </c>
      <c r="X29" s="59">
        <f t="array" ref="X29">INDEX(Inputs!$C$34:$E$34,MATCH(X$5,Inputs!$C$18:$E$18,0))</f>
        <v>2</v>
      </c>
      <c r="Y29" s="59">
        <f t="array" ref="Y29">INDEX(Inputs!$C$34:$E$34,MATCH(Y$5,Inputs!$C$18:$E$18,0))</f>
        <v>4</v>
      </c>
      <c r="Z29" s="59">
        <f t="array" ref="Z29">INDEX(Inputs!$C$34:$E$34,MATCH(Z$5,Inputs!$C$18:$E$18,0))</f>
        <v>4</v>
      </c>
      <c r="AA29" s="59">
        <f t="array" ref="AA29">INDEX(Inputs!$C$34:$E$34,MATCH(AA$5,Inputs!$C$18:$E$18,0))</f>
        <v>2</v>
      </c>
      <c r="AB29" s="59">
        <f t="array" ref="AB29">INDEX(Inputs!$C$34:$E$34,MATCH(AB$5,Inputs!$C$18:$E$18,0))</f>
        <v>4</v>
      </c>
      <c r="AC29" s="59">
        <f t="array" ref="AC29">INDEX(Inputs!$C$34:$E$34,MATCH(AC$5,Inputs!$C$18:$E$18,0))</f>
        <v>4</v>
      </c>
      <c r="AD29" s="59">
        <f t="array" ref="AD29">INDEX(Inputs!$C$34:$E$34,MATCH(AD$5,Inputs!$C$18:$E$18,0))</f>
        <v>2</v>
      </c>
      <c r="AE29" s="59">
        <f t="array" ref="AE29">INDEX(Inputs!$C$34:$E$34,MATCH(AE$5,Inputs!$C$18:$E$18,0))</f>
        <v>4</v>
      </c>
      <c r="AF29" s="59">
        <f t="array" ref="AF29">INDEX(Inputs!$C$34:$E$34,MATCH(AF$5,Inputs!$C$18:$E$18,0))</f>
        <v>4</v>
      </c>
      <c r="AG29" s="59">
        <f t="array" ref="AG29">INDEX(Inputs!$C$34:$E$34,MATCH(AG$5,Inputs!$C$18:$E$18,0))</f>
        <v>2</v>
      </c>
      <c r="AH29" s="59">
        <f t="array" ref="AH29">INDEX(Inputs!$C$34:$E$34,MATCH(AH$5,Inputs!$C$18:$E$18,0))</f>
        <v>4</v>
      </c>
      <c r="AI29" s="59">
        <f t="array" ref="AI29">INDEX(Inputs!$C$34:$E$34,MATCH(AI$5,Inputs!$C$18:$E$18,0))</f>
        <v>4</v>
      </c>
    </row>
    <row r="30" ht="15.75" customHeight="1">
      <c r="A30" s="51" t="s">
        <v>296</v>
      </c>
      <c r="B30" s="3" t="s">
        <v>29</v>
      </c>
      <c r="C30" s="64">
        <f t="array" ref="C30">INDEX(Inputs!$C$35:$E$35,MATCH(C$5,Inputs!$C$18:$E$18,0))</f>
        <v>0.001</v>
      </c>
      <c r="D30" s="64">
        <f t="array" ref="D30">INDEX(Inputs!$C$35:$E$35,MATCH(D$5,Inputs!$C$18:$E$18,0))</f>
        <v>0.003</v>
      </c>
      <c r="E30" s="64">
        <f t="array" ref="E30">INDEX(Inputs!$C$35:$E$35,MATCH(E$5,Inputs!$C$18:$E$18,0))</f>
        <v>0.003</v>
      </c>
      <c r="F30" s="64">
        <f t="array" ref="F30">INDEX(Inputs!$C$35:$E$35,MATCH(F$5,Inputs!$C$18:$E$18,0))</f>
        <v>0.001</v>
      </c>
      <c r="G30" s="64">
        <f t="array" ref="G30">INDEX(Inputs!$C$35:$E$35,MATCH(G$5,Inputs!$C$18:$E$18,0))</f>
        <v>0.003</v>
      </c>
      <c r="H30" s="64">
        <f t="array" ref="H30">INDEX(Inputs!$C$35:$E$35,MATCH(H$5,Inputs!$C$18:$E$18,0))</f>
        <v>0.003</v>
      </c>
      <c r="I30" s="64">
        <f t="array" ref="I30">INDEX(Inputs!$C$35:$E$35,MATCH(I$5,Inputs!$C$18:$E$18,0))</f>
        <v>0.001</v>
      </c>
      <c r="J30" s="64">
        <f t="array" ref="J30">INDEX(Inputs!$C$35:$E$35,MATCH(J$5,Inputs!$C$18:$E$18,0))</f>
        <v>0.003</v>
      </c>
      <c r="K30" s="64">
        <f t="array" ref="K30">INDEX(Inputs!$C$35:$E$35,MATCH(K$5,Inputs!$C$18:$E$18,0))</f>
        <v>0.003</v>
      </c>
      <c r="L30" s="64">
        <f t="array" ref="L30">INDEX(Inputs!$C$35:$E$35,MATCH(L$5,Inputs!$C$18:$E$18,0))</f>
        <v>0.001</v>
      </c>
      <c r="M30" s="64">
        <f t="array" ref="M30">INDEX(Inputs!$C$35:$E$35,MATCH(M$5,Inputs!$C$18:$E$18,0))</f>
        <v>0.003</v>
      </c>
      <c r="N30" s="64">
        <f t="array" ref="N30">INDEX(Inputs!$C$35:$E$35,MATCH(N$5,Inputs!$C$18:$E$18,0))</f>
        <v>0.003</v>
      </c>
      <c r="O30" s="64">
        <f t="array" ref="O30">INDEX(Inputs!$C$35:$E$35,MATCH(O$5,Inputs!$C$18:$E$18,0))</f>
        <v>0.001</v>
      </c>
      <c r="P30" s="64">
        <f t="array" ref="P30">INDEX(Inputs!$C$35:$E$35,MATCH(P$5,Inputs!$C$18:$E$18,0))</f>
        <v>0.003</v>
      </c>
      <c r="Q30" s="64">
        <f t="array" ref="Q30">INDEX(Inputs!$C$35:$E$35,MATCH(Q$5,Inputs!$C$18:$E$18,0))</f>
        <v>0.003</v>
      </c>
      <c r="R30" s="64">
        <f t="array" ref="R30">INDEX(Inputs!$C$35:$E$35,MATCH(R$5,Inputs!$C$18:$E$18,0))</f>
        <v>0.001</v>
      </c>
      <c r="S30" s="64">
        <f t="array" ref="S30">INDEX(Inputs!$C$35:$E$35,MATCH(S$5,Inputs!$C$18:$E$18,0))</f>
        <v>0.003</v>
      </c>
      <c r="T30" s="64">
        <f t="array" ref="T30">INDEX(Inputs!$C$35:$E$35,MATCH(T$5,Inputs!$C$18:$E$18,0))</f>
        <v>0.003</v>
      </c>
      <c r="U30" s="64">
        <f t="array" ref="U30">INDEX(Inputs!$C$35:$E$35,MATCH(U$5,Inputs!$C$18:$E$18,0))</f>
        <v>0.001</v>
      </c>
      <c r="V30" s="64">
        <f t="array" ref="V30">INDEX(Inputs!$C$35:$E$35,MATCH(V$5,Inputs!$C$18:$E$18,0))</f>
        <v>0.003</v>
      </c>
      <c r="W30" s="64">
        <f t="array" ref="W30">INDEX(Inputs!$C$35:$E$35,MATCH(W$5,Inputs!$C$18:$E$18,0))</f>
        <v>0.003</v>
      </c>
      <c r="X30" s="64">
        <f t="array" ref="X30">INDEX(Inputs!$C$35:$E$35,MATCH(X$5,Inputs!$C$18:$E$18,0))</f>
        <v>0.001</v>
      </c>
      <c r="Y30" s="64">
        <f t="array" ref="Y30">INDEX(Inputs!$C$35:$E$35,MATCH(Y$5,Inputs!$C$18:$E$18,0))</f>
        <v>0.003</v>
      </c>
      <c r="Z30" s="64">
        <f t="array" ref="Z30">INDEX(Inputs!$C$35:$E$35,MATCH(Z$5,Inputs!$C$18:$E$18,0))</f>
        <v>0.003</v>
      </c>
      <c r="AA30" s="64">
        <f t="array" ref="AA30">INDEX(Inputs!$C$35:$E$35,MATCH(AA$5,Inputs!$C$18:$E$18,0))</f>
        <v>0.001</v>
      </c>
      <c r="AB30" s="64">
        <f t="array" ref="AB30">INDEX(Inputs!$C$35:$E$35,MATCH(AB$5,Inputs!$C$18:$E$18,0))</f>
        <v>0.003</v>
      </c>
      <c r="AC30" s="64">
        <f t="array" ref="AC30">INDEX(Inputs!$C$35:$E$35,MATCH(AC$5,Inputs!$C$18:$E$18,0))</f>
        <v>0.003</v>
      </c>
      <c r="AD30" s="64">
        <f t="array" ref="AD30">INDEX(Inputs!$C$35:$E$35,MATCH(AD$5,Inputs!$C$18:$E$18,0))</f>
        <v>0.001</v>
      </c>
      <c r="AE30" s="64">
        <f t="array" ref="AE30">INDEX(Inputs!$C$35:$E$35,MATCH(AE$5,Inputs!$C$18:$E$18,0))</f>
        <v>0.003</v>
      </c>
      <c r="AF30" s="64">
        <f t="array" ref="AF30">INDEX(Inputs!$C$35:$E$35,MATCH(AF$5,Inputs!$C$18:$E$18,0))</f>
        <v>0.003</v>
      </c>
      <c r="AG30" s="64">
        <f t="array" ref="AG30">INDEX(Inputs!$C$35:$E$35,MATCH(AG$5,Inputs!$C$18:$E$18,0))</f>
        <v>0.001</v>
      </c>
      <c r="AH30" s="64">
        <f t="array" ref="AH30">INDEX(Inputs!$C$35:$E$35,MATCH(AH$5,Inputs!$C$18:$E$18,0))</f>
        <v>0.003</v>
      </c>
      <c r="AI30" s="64">
        <f t="array" ref="AI30">INDEX(Inputs!$C$35:$E$35,MATCH(AI$5,Inputs!$C$18:$E$18,0))</f>
        <v>0.003</v>
      </c>
    </row>
    <row r="31" ht="15.75" customHeight="1">
      <c r="A31" s="51" t="s">
        <v>297</v>
      </c>
      <c r="B31" s="3" t="s">
        <v>29</v>
      </c>
      <c r="C31" s="57">
        <f t="array" ref="C31">INDEX(Inputs!$C$36:$E$36,MATCH(C$5,Inputs!$C$18:$E$18,0))</f>
        <v>0</v>
      </c>
      <c r="D31" s="57">
        <f t="array" ref="D31">INDEX(Inputs!$C$36:$E$36,MATCH(D$5,Inputs!$C$18:$E$18,0))</f>
        <v>0.1</v>
      </c>
      <c r="E31" s="57">
        <f t="array" ref="E31">INDEX(Inputs!$C$36:$E$36,MATCH(E$5,Inputs!$C$18:$E$18,0))</f>
        <v>0.05</v>
      </c>
      <c r="F31" s="57">
        <f t="array" ref="F31">INDEX(Inputs!$C$36:$E$36,MATCH(F$5,Inputs!$C$18:$E$18,0))</f>
        <v>0</v>
      </c>
      <c r="G31" s="57">
        <f t="array" ref="G31">INDEX(Inputs!$C$36:$E$36,MATCH(G$5,Inputs!$C$18:$E$18,0))</f>
        <v>0.1</v>
      </c>
      <c r="H31" s="57">
        <f t="array" ref="H31">INDEX(Inputs!$C$36:$E$36,MATCH(H$5,Inputs!$C$18:$E$18,0))</f>
        <v>0.05</v>
      </c>
      <c r="I31" s="57">
        <f t="array" ref="I31">INDEX(Inputs!$C$36:$E$36,MATCH(I$5,Inputs!$C$18:$E$18,0))</f>
        <v>0</v>
      </c>
      <c r="J31" s="57">
        <f t="array" ref="J31">INDEX(Inputs!$C$36:$E$36,MATCH(J$5,Inputs!$C$18:$E$18,0))</f>
        <v>0.1</v>
      </c>
      <c r="K31" s="57">
        <f t="array" ref="K31">INDEX(Inputs!$C$36:$E$36,MATCH(K$5,Inputs!$C$18:$E$18,0))</f>
        <v>0.05</v>
      </c>
      <c r="L31" s="57">
        <f t="array" ref="L31">INDEX(Inputs!$C$36:$E$36,MATCH(L$5,Inputs!$C$18:$E$18,0))</f>
        <v>0</v>
      </c>
      <c r="M31" s="57">
        <f t="array" ref="M31">INDEX(Inputs!$C$36:$E$36,MATCH(M$5,Inputs!$C$18:$E$18,0))</f>
        <v>0.1</v>
      </c>
      <c r="N31" s="57">
        <f t="array" ref="N31">INDEX(Inputs!$C$36:$E$36,MATCH(N$5,Inputs!$C$18:$E$18,0))</f>
        <v>0.05</v>
      </c>
      <c r="O31" s="57">
        <f t="array" ref="O31">INDEX(Inputs!$C$36:$E$36,MATCH(O$5,Inputs!$C$18:$E$18,0))</f>
        <v>0</v>
      </c>
      <c r="P31" s="57">
        <f t="array" ref="P31">INDEX(Inputs!$C$36:$E$36,MATCH(P$5,Inputs!$C$18:$E$18,0))</f>
        <v>0.1</v>
      </c>
      <c r="Q31" s="57">
        <f t="array" ref="Q31">INDEX(Inputs!$C$36:$E$36,MATCH(Q$5,Inputs!$C$18:$E$18,0))</f>
        <v>0.05</v>
      </c>
      <c r="R31" s="57">
        <f t="array" ref="R31">INDEX(Inputs!$C$36:$E$36,MATCH(R$5,Inputs!$C$18:$E$18,0))</f>
        <v>0</v>
      </c>
      <c r="S31" s="57">
        <f t="array" ref="S31">INDEX(Inputs!$C$36:$E$36,MATCH(S$5,Inputs!$C$18:$E$18,0))</f>
        <v>0.1</v>
      </c>
      <c r="T31" s="57">
        <f t="array" ref="T31">INDEX(Inputs!$C$36:$E$36,MATCH(T$5,Inputs!$C$18:$E$18,0))</f>
        <v>0.05</v>
      </c>
      <c r="U31" s="57">
        <f t="array" ref="U31">INDEX(Inputs!$C$36:$E$36,MATCH(U$5,Inputs!$C$18:$E$18,0))</f>
        <v>0</v>
      </c>
      <c r="V31" s="57">
        <f t="array" ref="V31">INDEX(Inputs!$C$36:$E$36,MATCH(V$5,Inputs!$C$18:$E$18,0))</f>
        <v>0.1</v>
      </c>
      <c r="W31" s="57">
        <f t="array" ref="W31">INDEX(Inputs!$C$36:$E$36,MATCH(W$5,Inputs!$C$18:$E$18,0))</f>
        <v>0.05</v>
      </c>
      <c r="X31" s="57">
        <f t="array" ref="X31">INDEX(Inputs!$C$36:$E$36,MATCH(X$5,Inputs!$C$18:$E$18,0))</f>
        <v>0</v>
      </c>
      <c r="Y31" s="57">
        <f t="array" ref="Y31">INDEX(Inputs!$C$36:$E$36,MATCH(Y$5,Inputs!$C$18:$E$18,0))</f>
        <v>0.1</v>
      </c>
      <c r="Z31" s="57">
        <f t="array" ref="Z31">INDEX(Inputs!$C$36:$E$36,MATCH(Z$5,Inputs!$C$18:$E$18,0))</f>
        <v>0.05</v>
      </c>
      <c r="AA31" s="57">
        <f t="array" ref="AA31">INDEX(Inputs!$C$36:$E$36,MATCH(AA$5,Inputs!$C$18:$E$18,0))</f>
        <v>0</v>
      </c>
      <c r="AB31" s="57">
        <f t="array" ref="AB31">INDEX(Inputs!$C$36:$E$36,MATCH(AB$5,Inputs!$C$18:$E$18,0))</f>
        <v>0.1</v>
      </c>
      <c r="AC31" s="57">
        <f t="array" ref="AC31">INDEX(Inputs!$C$36:$E$36,MATCH(AC$5,Inputs!$C$18:$E$18,0))</f>
        <v>0.05</v>
      </c>
      <c r="AD31" s="57">
        <f t="array" ref="AD31">INDEX(Inputs!$C$36:$E$36,MATCH(AD$5,Inputs!$C$18:$E$18,0))</f>
        <v>0</v>
      </c>
      <c r="AE31" s="57">
        <f t="array" ref="AE31">INDEX(Inputs!$C$36:$E$36,MATCH(AE$5,Inputs!$C$18:$E$18,0))</f>
        <v>0.1</v>
      </c>
      <c r="AF31" s="57">
        <f t="array" ref="AF31">INDEX(Inputs!$C$36:$E$36,MATCH(AF$5,Inputs!$C$18:$E$18,0))</f>
        <v>0.05</v>
      </c>
      <c r="AG31" s="57">
        <f t="array" ref="AG31">INDEX(Inputs!$C$36:$E$36,MATCH(AG$5,Inputs!$C$18:$E$18,0))</f>
        <v>0</v>
      </c>
      <c r="AH31" s="57">
        <f t="array" ref="AH31">INDEX(Inputs!$C$36:$E$36,MATCH(AH$5,Inputs!$C$18:$E$18,0))</f>
        <v>0.1</v>
      </c>
      <c r="AI31" s="57">
        <f t="array" ref="AI31">INDEX(Inputs!$C$36:$E$36,MATCH(AI$5,Inputs!$C$18:$E$18,0))</f>
        <v>0.05</v>
      </c>
    </row>
    <row r="32" ht="15.75" customHeight="1">
      <c r="A32" s="51" t="s">
        <v>298</v>
      </c>
      <c r="B32" s="3" t="s">
        <v>29</v>
      </c>
      <c r="C32" s="57">
        <f t="array" ref="C32">INDEX(Inputs!$C$37:$E$37,MATCH(C$5,Inputs!$C$18:$E$18,0))</f>
        <v>0</v>
      </c>
      <c r="D32" s="57">
        <f t="array" ref="D32">INDEX(Inputs!$C$37:$E$37,MATCH(D$5,Inputs!$C$18:$E$18,0))</f>
        <v>0</v>
      </c>
      <c r="E32" s="57">
        <f t="array" ref="E32">INDEX(Inputs!$C$37:$E$37,MATCH(E$5,Inputs!$C$18:$E$18,0))</f>
        <v>0</v>
      </c>
      <c r="F32" s="57">
        <f t="array" ref="F32">INDEX(Inputs!$C$37:$E$37,MATCH(F$5,Inputs!$C$18:$E$18,0))</f>
        <v>0</v>
      </c>
      <c r="G32" s="57">
        <f t="array" ref="G32">INDEX(Inputs!$C$37:$E$37,MATCH(G$5,Inputs!$C$18:$E$18,0))</f>
        <v>0</v>
      </c>
      <c r="H32" s="57">
        <f t="array" ref="H32">INDEX(Inputs!$C$37:$E$37,MATCH(H$5,Inputs!$C$18:$E$18,0))</f>
        <v>0</v>
      </c>
      <c r="I32" s="57">
        <f t="array" ref="I32">INDEX(Inputs!$C$37:$E$37,MATCH(I$5,Inputs!$C$18:$E$18,0))</f>
        <v>0</v>
      </c>
      <c r="J32" s="57">
        <f t="array" ref="J32">INDEX(Inputs!$C$37:$E$37,MATCH(J$5,Inputs!$C$18:$E$18,0))</f>
        <v>0</v>
      </c>
      <c r="K32" s="57">
        <f t="array" ref="K32">INDEX(Inputs!$C$37:$E$37,MATCH(K$5,Inputs!$C$18:$E$18,0))</f>
        <v>0</v>
      </c>
      <c r="L32" s="57">
        <f t="array" ref="L32">INDEX(Inputs!$C$37:$E$37,MATCH(L$5,Inputs!$C$18:$E$18,0))</f>
        <v>0</v>
      </c>
      <c r="M32" s="57">
        <f t="array" ref="M32">INDEX(Inputs!$C$37:$E$37,MATCH(M$5,Inputs!$C$18:$E$18,0))</f>
        <v>0</v>
      </c>
      <c r="N32" s="57">
        <f t="array" ref="N32">INDEX(Inputs!$C$37:$E$37,MATCH(N$5,Inputs!$C$18:$E$18,0))</f>
        <v>0</v>
      </c>
      <c r="O32" s="57">
        <f t="array" ref="O32">INDEX(Inputs!$C$37:$E$37,MATCH(O$5,Inputs!$C$18:$E$18,0))</f>
        <v>0</v>
      </c>
      <c r="P32" s="57">
        <f t="array" ref="P32">INDEX(Inputs!$C$37:$E$37,MATCH(P$5,Inputs!$C$18:$E$18,0))</f>
        <v>0</v>
      </c>
      <c r="Q32" s="57">
        <f t="array" ref="Q32">INDEX(Inputs!$C$37:$E$37,MATCH(Q$5,Inputs!$C$18:$E$18,0))</f>
        <v>0</v>
      </c>
      <c r="R32" s="57">
        <f t="array" ref="R32">INDEX(Inputs!$C$37:$E$37,MATCH(R$5,Inputs!$C$18:$E$18,0))</f>
        <v>0</v>
      </c>
      <c r="S32" s="57">
        <f t="array" ref="S32">INDEX(Inputs!$C$37:$E$37,MATCH(S$5,Inputs!$C$18:$E$18,0))</f>
        <v>0</v>
      </c>
      <c r="T32" s="57">
        <f t="array" ref="T32">INDEX(Inputs!$C$37:$E$37,MATCH(T$5,Inputs!$C$18:$E$18,0))</f>
        <v>0</v>
      </c>
      <c r="U32" s="57">
        <f t="array" ref="U32">INDEX(Inputs!$C$37:$E$37,MATCH(U$5,Inputs!$C$18:$E$18,0))</f>
        <v>0</v>
      </c>
      <c r="V32" s="57">
        <f t="array" ref="V32">INDEX(Inputs!$C$37:$E$37,MATCH(V$5,Inputs!$C$18:$E$18,0))</f>
        <v>0</v>
      </c>
      <c r="W32" s="57">
        <f t="array" ref="W32">INDEX(Inputs!$C$37:$E$37,MATCH(W$5,Inputs!$C$18:$E$18,0))</f>
        <v>0</v>
      </c>
      <c r="X32" s="57">
        <f t="array" ref="X32">INDEX(Inputs!$C$37:$E$37,MATCH(X$5,Inputs!$C$18:$E$18,0))</f>
        <v>0</v>
      </c>
      <c r="Y32" s="57">
        <f t="array" ref="Y32">INDEX(Inputs!$C$37:$E$37,MATCH(Y$5,Inputs!$C$18:$E$18,0))</f>
        <v>0</v>
      </c>
      <c r="Z32" s="57">
        <f t="array" ref="Z32">INDEX(Inputs!$C$37:$E$37,MATCH(Z$5,Inputs!$C$18:$E$18,0))</f>
        <v>0</v>
      </c>
      <c r="AA32" s="57">
        <f t="array" ref="AA32">INDEX(Inputs!$C$37:$E$37,MATCH(AA$5,Inputs!$C$18:$E$18,0))</f>
        <v>0</v>
      </c>
      <c r="AB32" s="57">
        <f t="array" ref="AB32">INDEX(Inputs!$C$37:$E$37,MATCH(AB$5,Inputs!$C$18:$E$18,0))</f>
        <v>0</v>
      </c>
      <c r="AC32" s="57">
        <f t="array" ref="AC32">INDEX(Inputs!$C$37:$E$37,MATCH(AC$5,Inputs!$C$18:$E$18,0))</f>
        <v>0</v>
      </c>
      <c r="AD32" s="57">
        <f t="array" ref="AD32">INDEX(Inputs!$C$37:$E$37,MATCH(AD$5,Inputs!$C$18:$E$18,0))</f>
        <v>0</v>
      </c>
      <c r="AE32" s="57">
        <f t="array" ref="AE32">INDEX(Inputs!$C$37:$E$37,MATCH(AE$5,Inputs!$C$18:$E$18,0))</f>
        <v>0</v>
      </c>
      <c r="AF32" s="57">
        <f t="array" ref="AF32">INDEX(Inputs!$C$37:$E$37,MATCH(AF$5,Inputs!$C$18:$E$18,0))</f>
        <v>0</v>
      </c>
      <c r="AG32" s="57">
        <f t="array" ref="AG32">INDEX(Inputs!$C$37:$E$37,MATCH(AG$5,Inputs!$C$18:$E$18,0))</f>
        <v>0</v>
      </c>
      <c r="AH32" s="57">
        <f t="array" ref="AH32">INDEX(Inputs!$C$37:$E$37,MATCH(AH$5,Inputs!$C$18:$E$18,0))</f>
        <v>0</v>
      </c>
      <c r="AI32" s="57">
        <f t="array" ref="AI32">INDEX(Inputs!$C$37:$E$37,MATCH(AI$5,Inputs!$C$18:$E$18,0))</f>
        <v>0</v>
      </c>
    </row>
    <row r="33" ht="15.75" customHeight="1">
      <c r="A33" s="51" t="s">
        <v>299</v>
      </c>
      <c r="B33" s="3" t="s">
        <v>29</v>
      </c>
      <c r="C33" s="64">
        <f t="array" ref="C33">INDEX(Inputs!$C$38:$E$38,MATCH(C$5,Inputs!$C$18:$E$18,0))</f>
        <v>0</v>
      </c>
      <c r="D33" s="64">
        <f t="array" ref="D33">INDEX(Inputs!$C$38:$E$38,MATCH(D$5,Inputs!$C$18:$E$18,0))</f>
        <v>0.004</v>
      </c>
      <c r="E33" s="64">
        <f t="array" ref="E33">INDEX(Inputs!$C$38:$E$38,MATCH(E$5,Inputs!$C$18:$E$18,0))</f>
        <v>0.004</v>
      </c>
      <c r="F33" s="64">
        <f t="array" ref="F33">INDEX(Inputs!$C$38:$E$38,MATCH(F$5,Inputs!$C$18:$E$18,0))</f>
        <v>0</v>
      </c>
      <c r="G33" s="64">
        <f t="array" ref="G33">INDEX(Inputs!$C$38:$E$38,MATCH(G$5,Inputs!$C$18:$E$18,0))</f>
        <v>0.004</v>
      </c>
      <c r="H33" s="64">
        <f t="array" ref="H33">INDEX(Inputs!$C$38:$E$38,MATCH(H$5,Inputs!$C$18:$E$18,0))</f>
        <v>0.004</v>
      </c>
      <c r="I33" s="64">
        <f t="array" ref="I33">INDEX(Inputs!$C$38:$E$38,MATCH(I$5,Inputs!$C$18:$E$18,0))</f>
        <v>0</v>
      </c>
      <c r="J33" s="64">
        <f t="array" ref="J33">INDEX(Inputs!$C$38:$E$38,MATCH(J$5,Inputs!$C$18:$E$18,0))</f>
        <v>0.004</v>
      </c>
      <c r="K33" s="64">
        <f t="array" ref="K33">INDEX(Inputs!$C$38:$E$38,MATCH(K$5,Inputs!$C$18:$E$18,0))</f>
        <v>0.004</v>
      </c>
      <c r="L33" s="64">
        <f t="array" ref="L33">INDEX(Inputs!$C$38:$E$38,MATCH(L$5,Inputs!$C$18:$E$18,0))</f>
        <v>0</v>
      </c>
      <c r="M33" s="64">
        <f t="array" ref="M33">INDEX(Inputs!$C$38:$E$38,MATCH(M$5,Inputs!$C$18:$E$18,0))</f>
        <v>0.004</v>
      </c>
      <c r="N33" s="64">
        <f t="array" ref="N33">INDEX(Inputs!$C$38:$E$38,MATCH(N$5,Inputs!$C$18:$E$18,0))</f>
        <v>0.004</v>
      </c>
      <c r="O33" s="64">
        <f t="array" ref="O33">INDEX(Inputs!$C$38:$E$38,MATCH(O$5,Inputs!$C$18:$E$18,0))</f>
        <v>0</v>
      </c>
      <c r="P33" s="64">
        <f t="array" ref="P33">INDEX(Inputs!$C$38:$E$38,MATCH(P$5,Inputs!$C$18:$E$18,0))</f>
        <v>0.004</v>
      </c>
      <c r="Q33" s="64">
        <f t="array" ref="Q33">INDEX(Inputs!$C$38:$E$38,MATCH(Q$5,Inputs!$C$18:$E$18,0))</f>
        <v>0.004</v>
      </c>
      <c r="R33" s="64">
        <f t="array" ref="R33">INDEX(Inputs!$C$38:$E$38,MATCH(R$5,Inputs!$C$18:$E$18,0))</f>
        <v>0</v>
      </c>
      <c r="S33" s="64">
        <f t="array" ref="S33">INDEX(Inputs!$C$38:$E$38,MATCH(S$5,Inputs!$C$18:$E$18,0))</f>
        <v>0.004</v>
      </c>
      <c r="T33" s="64">
        <f t="array" ref="T33">INDEX(Inputs!$C$38:$E$38,MATCH(T$5,Inputs!$C$18:$E$18,0))</f>
        <v>0.004</v>
      </c>
      <c r="U33" s="64">
        <f t="array" ref="U33">INDEX(Inputs!$C$38:$E$38,MATCH(U$5,Inputs!$C$18:$E$18,0))</f>
        <v>0</v>
      </c>
      <c r="V33" s="64">
        <f t="array" ref="V33">INDEX(Inputs!$C$38:$E$38,MATCH(V$5,Inputs!$C$18:$E$18,0))</f>
        <v>0.004</v>
      </c>
      <c r="W33" s="64">
        <f t="array" ref="W33">INDEX(Inputs!$C$38:$E$38,MATCH(W$5,Inputs!$C$18:$E$18,0))</f>
        <v>0.004</v>
      </c>
      <c r="X33" s="64">
        <f t="array" ref="X33">INDEX(Inputs!$C$38:$E$38,MATCH(X$5,Inputs!$C$18:$E$18,0))</f>
        <v>0</v>
      </c>
      <c r="Y33" s="64">
        <f t="array" ref="Y33">INDEX(Inputs!$C$38:$E$38,MATCH(Y$5,Inputs!$C$18:$E$18,0))</f>
        <v>0.004</v>
      </c>
      <c r="Z33" s="64">
        <f t="array" ref="Z33">INDEX(Inputs!$C$38:$E$38,MATCH(Z$5,Inputs!$C$18:$E$18,0))</f>
        <v>0.004</v>
      </c>
      <c r="AA33" s="64">
        <f t="array" ref="AA33">INDEX(Inputs!$C$38:$E$38,MATCH(AA$5,Inputs!$C$18:$E$18,0))</f>
        <v>0</v>
      </c>
      <c r="AB33" s="64">
        <f t="array" ref="AB33">INDEX(Inputs!$C$38:$E$38,MATCH(AB$5,Inputs!$C$18:$E$18,0))</f>
        <v>0.004</v>
      </c>
      <c r="AC33" s="64">
        <f t="array" ref="AC33">INDEX(Inputs!$C$38:$E$38,MATCH(AC$5,Inputs!$C$18:$E$18,0))</f>
        <v>0.004</v>
      </c>
      <c r="AD33" s="64">
        <f t="array" ref="AD33">INDEX(Inputs!$C$38:$E$38,MATCH(AD$5,Inputs!$C$18:$E$18,0))</f>
        <v>0</v>
      </c>
      <c r="AE33" s="64">
        <f t="array" ref="AE33">INDEX(Inputs!$C$38:$E$38,MATCH(AE$5,Inputs!$C$18:$E$18,0))</f>
        <v>0.004</v>
      </c>
      <c r="AF33" s="64">
        <f t="array" ref="AF33">INDEX(Inputs!$C$38:$E$38,MATCH(AF$5,Inputs!$C$18:$E$18,0))</f>
        <v>0.004</v>
      </c>
      <c r="AG33" s="64">
        <f t="array" ref="AG33">INDEX(Inputs!$C$38:$E$38,MATCH(AG$5,Inputs!$C$18:$E$18,0))</f>
        <v>0</v>
      </c>
      <c r="AH33" s="64">
        <f t="array" ref="AH33">INDEX(Inputs!$C$38:$E$38,MATCH(AH$5,Inputs!$C$18:$E$18,0))</f>
        <v>0.004</v>
      </c>
      <c r="AI33" s="64">
        <f t="array" ref="AI33">INDEX(Inputs!$C$38:$E$38,MATCH(AI$5,Inputs!$C$18:$E$18,0))</f>
        <v>0.004</v>
      </c>
    </row>
    <row r="34" ht="15.75" customHeight="1">
      <c r="A34" s="51" t="s">
        <v>300</v>
      </c>
      <c r="B34" s="3" t="s">
        <v>109</v>
      </c>
      <c r="C34" s="61">
        <f t="array" ref="C34">INDEX(Inputs!$C$39:$E$39,MATCH(C$5,Inputs!$C$18:$E$18,0))</f>
        <v>0</v>
      </c>
      <c r="D34" s="61">
        <f t="array" ref="D34">INDEX(Inputs!$C$39:$E$39,MATCH(D$5,Inputs!$C$18:$E$18,0))</f>
        <v>0.05</v>
      </c>
      <c r="E34" s="61">
        <f t="array" ref="E34">INDEX(Inputs!$C$39:$E$39,MATCH(E$5,Inputs!$C$18:$E$18,0))</f>
        <v>0.05</v>
      </c>
      <c r="F34" s="61">
        <f t="array" ref="F34">INDEX(Inputs!$C$39:$E$39,MATCH(F$5,Inputs!$C$18:$E$18,0))</f>
        <v>0</v>
      </c>
      <c r="G34" s="61">
        <f t="array" ref="G34">INDEX(Inputs!$C$39:$E$39,MATCH(G$5,Inputs!$C$18:$E$18,0))</f>
        <v>0.05</v>
      </c>
      <c r="H34" s="61">
        <f t="array" ref="H34">INDEX(Inputs!$C$39:$E$39,MATCH(H$5,Inputs!$C$18:$E$18,0))</f>
        <v>0.05</v>
      </c>
      <c r="I34" s="61">
        <f t="array" ref="I34">INDEX(Inputs!$C$39:$E$39,MATCH(I$5,Inputs!$C$18:$E$18,0))</f>
        <v>0</v>
      </c>
      <c r="J34" s="61">
        <f t="array" ref="J34">INDEX(Inputs!$C$39:$E$39,MATCH(J$5,Inputs!$C$18:$E$18,0))</f>
        <v>0.05</v>
      </c>
      <c r="K34" s="61">
        <f t="array" ref="K34">INDEX(Inputs!$C$39:$E$39,MATCH(K$5,Inputs!$C$18:$E$18,0))</f>
        <v>0.05</v>
      </c>
      <c r="L34" s="61">
        <f t="array" ref="L34">INDEX(Inputs!$C$39:$E$39,MATCH(L$5,Inputs!$C$18:$E$18,0))</f>
        <v>0</v>
      </c>
      <c r="M34" s="61">
        <f t="array" ref="M34">INDEX(Inputs!$C$39:$E$39,MATCH(M$5,Inputs!$C$18:$E$18,0))</f>
        <v>0.05</v>
      </c>
      <c r="N34" s="61">
        <f t="array" ref="N34">INDEX(Inputs!$C$39:$E$39,MATCH(N$5,Inputs!$C$18:$E$18,0))</f>
        <v>0.05</v>
      </c>
      <c r="O34" s="61">
        <f t="array" ref="O34">INDEX(Inputs!$C$39:$E$39,MATCH(O$5,Inputs!$C$18:$E$18,0))</f>
        <v>0</v>
      </c>
      <c r="P34" s="61">
        <f t="array" ref="P34">INDEX(Inputs!$C$39:$E$39,MATCH(P$5,Inputs!$C$18:$E$18,0))</f>
        <v>0.05</v>
      </c>
      <c r="Q34" s="61">
        <f t="array" ref="Q34">INDEX(Inputs!$C$39:$E$39,MATCH(Q$5,Inputs!$C$18:$E$18,0))</f>
        <v>0.05</v>
      </c>
      <c r="R34" s="61">
        <f t="array" ref="R34">INDEX(Inputs!$C$39:$E$39,MATCH(R$5,Inputs!$C$18:$E$18,0))</f>
        <v>0</v>
      </c>
      <c r="S34" s="61">
        <f t="array" ref="S34">INDEX(Inputs!$C$39:$E$39,MATCH(S$5,Inputs!$C$18:$E$18,0))</f>
        <v>0.05</v>
      </c>
      <c r="T34" s="61">
        <f t="array" ref="T34">INDEX(Inputs!$C$39:$E$39,MATCH(T$5,Inputs!$C$18:$E$18,0))</f>
        <v>0.05</v>
      </c>
      <c r="U34" s="61">
        <f t="array" ref="U34">INDEX(Inputs!$C$39:$E$39,MATCH(U$5,Inputs!$C$18:$E$18,0))</f>
        <v>0</v>
      </c>
      <c r="V34" s="61">
        <f t="array" ref="V34">INDEX(Inputs!$C$39:$E$39,MATCH(V$5,Inputs!$C$18:$E$18,0))</f>
        <v>0.05</v>
      </c>
      <c r="W34" s="61">
        <f t="array" ref="W34">INDEX(Inputs!$C$39:$E$39,MATCH(W$5,Inputs!$C$18:$E$18,0))</f>
        <v>0.05</v>
      </c>
      <c r="X34" s="61">
        <f t="array" ref="X34">INDEX(Inputs!$C$39:$E$39,MATCH(X$5,Inputs!$C$18:$E$18,0))</f>
        <v>0</v>
      </c>
      <c r="Y34" s="61">
        <f t="array" ref="Y34">INDEX(Inputs!$C$39:$E$39,MATCH(Y$5,Inputs!$C$18:$E$18,0))</f>
        <v>0.05</v>
      </c>
      <c r="Z34" s="61">
        <f t="array" ref="Z34">INDEX(Inputs!$C$39:$E$39,MATCH(Z$5,Inputs!$C$18:$E$18,0))</f>
        <v>0.05</v>
      </c>
      <c r="AA34" s="61">
        <f t="array" ref="AA34">INDEX(Inputs!$C$39:$E$39,MATCH(AA$5,Inputs!$C$18:$E$18,0))</f>
        <v>0</v>
      </c>
      <c r="AB34" s="61">
        <f t="array" ref="AB34">INDEX(Inputs!$C$39:$E$39,MATCH(AB$5,Inputs!$C$18:$E$18,0))</f>
        <v>0.05</v>
      </c>
      <c r="AC34" s="61">
        <f t="array" ref="AC34">INDEX(Inputs!$C$39:$E$39,MATCH(AC$5,Inputs!$C$18:$E$18,0))</f>
        <v>0.05</v>
      </c>
      <c r="AD34" s="61">
        <f t="array" ref="AD34">INDEX(Inputs!$C$39:$E$39,MATCH(AD$5,Inputs!$C$18:$E$18,0))</f>
        <v>0</v>
      </c>
      <c r="AE34" s="61">
        <f t="array" ref="AE34">INDEX(Inputs!$C$39:$E$39,MATCH(AE$5,Inputs!$C$18:$E$18,0))</f>
        <v>0.05</v>
      </c>
      <c r="AF34" s="61">
        <f t="array" ref="AF34">INDEX(Inputs!$C$39:$E$39,MATCH(AF$5,Inputs!$C$18:$E$18,0))</f>
        <v>0.05</v>
      </c>
      <c r="AG34" s="61">
        <f t="array" ref="AG34">INDEX(Inputs!$C$39:$E$39,MATCH(AG$5,Inputs!$C$18:$E$18,0))</f>
        <v>0</v>
      </c>
      <c r="AH34" s="61">
        <f t="array" ref="AH34">INDEX(Inputs!$C$39:$E$39,MATCH(AH$5,Inputs!$C$18:$E$18,0))</f>
        <v>0.05</v>
      </c>
      <c r="AI34" s="61">
        <f t="array" ref="AI34">INDEX(Inputs!$C$39:$E$39,MATCH(AI$5,Inputs!$C$18:$E$18,0))</f>
        <v>0.05</v>
      </c>
    </row>
    <row r="35" ht="15.75" customHeight="1">
      <c r="A35" s="51" t="s">
        <v>301</v>
      </c>
      <c r="B35" s="3" t="s">
        <v>29</v>
      </c>
      <c r="C35" s="57">
        <f t="array" ref="C35">INDEX(Inputs!$C$40:$E$40,MATCH(C$5,Inputs!$C$18:$E$18,0))</f>
        <v>0.07</v>
      </c>
      <c r="D35" s="57">
        <f t="array" ref="D35">INDEX(Inputs!$C$40:$E$40,MATCH(D$5,Inputs!$C$18:$E$18,0))</f>
        <v>0</v>
      </c>
      <c r="E35" s="57">
        <f t="array" ref="E35">INDEX(Inputs!$C$40:$E$40,MATCH(E$5,Inputs!$C$18:$E$18,0))</f>
        <v>0</v>
      </c>
      <c r="F35" s="57">
        <f t="array" ref="F35">INDEX(Inputs!$C$40:$E$40,MATCH(F$5,Inputs!$C$18:$E$18,0))</f>
        <v>0.07</v>
      </c>
      <c r="G35" s="57">
        <f t="array" ref="G35">INDEX(Inputs!$C$40:$E$40,MATCH(G$5,Inputs!$C$18:$E$18,0))</f>
        <v>0</v>
      </c>
      <c r="H35" s="57">
        <f t="array" ref="H35">INDEX(Inputs!$C$40:$E$40,MATCH(H$5,Inputs!$C$18:$E$18,0))</f>
        <v>0</v>
      </c>
      <c r="I35" s="57">
        <f t="array" ref="I35">INDEX(Inputs!$C$40:$E$40,MATCH(I$5,Inputs!$C$18:$E$18,0))</f>
        <v>0.07</v>
      </c>
      <c r="J35" s="57">
        <f t="array" ref="J35">INDEX(Inputs!$C$40:$E$40,MATCH(J$5,Inputs!$C$18:$E$18,0))</f>
        <v>0</v>
      </c>
      <c r="K35" s="57">
        <f t="array" ref="K35">INDEX(Inputs!$C$40:$E$40,MATCH(K$5,Inputs!$C$18:$E$18,0))</f>
        <v>0</v>
      </c>
      <c r="L35" s="57">
        <f t="array" ref="L35">INDEX(Inputs!$C$40:$E$40,MATCH(L$5,Inputs!$C$18:$E$18,0))</f>
        <v>0.07</v>
      </c>
      <c r="M35" s="57">
        <f t="array" ref="M35">INDEX(Inputs!$C$40:$E$40,MATCH(M$5,Inputs!$C$18:$E$18,0))</f>
        <v>0</v>
      </c>
      <c r="N35" s="57">
        <f t="array" ref="N35">INDEX(Inputs!$C$40:$E$40,MATCH(N$5,Inputs!$C$18:$E$18,0))</f>
        <v>0</v>
      </c>
      <c r="O35" s="57">
        <f t="array" ref="O35">INDEX(Inputs!$C$40:$E$40,MATCH(O$5,Inputs!$C$18:$E$18,0))</f>
        <v>0.07</v>
      </c>
      <c r="P35" s="57">
        <f t="array" ref="P35">INDEX(Inputs!$C$40:$E$40,MATCH(P$5,Inputs!$C$18:$E$18,0))</f>
        <v>0</v>
      </c>
      <c r="Q35" s="57">
        <f t="array" ref="Q35">INDEX(Inputs!$C$40:$E$40,MATCH(Q$5,Inputs!$C$18:$E$18,0))</f>
        <v>0</v>
      </c>
      <c r="R35" s="57">
        <f t="array" ref="R35">INDEX(Inputs!$C$40:$E$40,MATCH(R$5,Inputs!$C$18:$E$18,0))</f>
        <v>0.07</v>
      </c>
      <c r="S35" s="57">
        <f t="array" ref="S35">INDEX(Inputs!$C$40:$E$40,MATCH(S$5,Inputs!$C$18:$E$18,0))</f>
        <v>0</v>
      </c>
      <c r="T35" s="57">
        <f t="array" ref="T35">INDEX(Inputs!$C$40:$E$40,MATCH(T$5,Inputs!$C$18:$E$18,0))</f>
        <v>0</v>
      </c>
      <c r="U35" s="57">
        <f t="array" ref="U35">INDEX(Inputs!$C$40:$E$40,MATCH(U$5,Inputs!$C$18:$E$18,0))</f>
        <v>0.07</v>
      </c>
      <c r="V35" s="57">
        <f t="array" ref="V35">INDEX(Inputs!$C$40:$E$40,MATCH(V$5,Inputs!$C$18:$E$18,0))</f>
        <v>0</v>
      </c>
      <c r="W35" s="57">
        <f t="array" ref="W35">INDEX(Inputs!$C$40:$E$40,MATCH(W$5,Inputs!$C$18:$E$18,0))</f>
        <v>0</v>
      </c>
      <c r="X35" s="57">
        <f t="array" ref="X35">INDEX(Inputs!$C$40:$E$40,MATCH(X$5,Inputs!$C$18:$E$18,0))</f>
        <v>0.07</v>
      </c>
      <c r="Y35" s="57">
        <f t="array" ref="Y35">INDEX(Inputs!$C$40:$E$40,MATCH(Y$5,Inputs!$C$18:$E$18,0))</f>
        <v>0</v>
      </c>
      <c r="Z35" s="57">
        <f t="array" ref="Z35">INDEX(Inputs!$C$40:$E$40,MATCH(Z$5,Inputs!$C$18:$E$18,0))</f>
        <v>0</v>
      </c>
      <c r="AA35" s="57">
        <f t="array" ref="AA35">INDEX(Inputs!$C$40:$E$40,MATCH(AA$5,Inputs!$C$18:$E$18,0))</f>
        <v>0.07</v>
      </c>
      <c r="AB35" s="57">
        <f t="array" ref="AB35">INDEX(Inputs!$C$40:$E$40,MATCH(AB$5,Inputs!$C$18:$E$18,0))</f>
        <v>0</v>
      </c>
      <c r="AC35" s="57">
        <f t="array" ref="AC35">INDEX(Inputs!$C$40:$E$40,MATCH(AC$5,Inputs!$C$18:$E$18,0))</f>
        <v>0</v>
      </c>
      <c r="AD35" s="57">
        <f t="array" ref="AD35">INDEX(Inputs!$C$40:$E$40,MATCH(AD$5,Inputs!$C$18:$E$18,0))</f>
        <v>0.07</v>
      </c>
      <c r="AE35" s="57">
        <f t="array" ref="AE35">INDEX(Inputs!$C$40:$E$40,MATCH(AE$5,Inputs!$C$18:$E$18,0))</f>
        <v>0</v>
      </c>
      <c r="AF35" s="57">
        <f t="array" ref="AF35">INDEX(Inputs!$C$40:$E$40,MATCH(AF$5,Inputs!$C$18:$E$18,0))</f>
        <v>0</v>
      </c>
      <c r="AG35" s="57">
        <f t="array" ref="AG35">INDEX(Inputs!$C$40:$E$40,MATCH(AG$5,Inputs!$C$18:$E$18,0))</f>
        <v>0.07</v>
      </c>
      <c r="AH35" s="57">
        <f t="array" ref="AH35">INDEX(Inputs!$C$40:$E$40,MATCH(AH$5,Inputs!$C$18:$E$18,0))</f>
        <v>0</v>
      </c>
      <c r="AI35" s="57">
        <f t="array" ref="AI35">INDEX(Inputs!$C$40:$E$40,MATCH(AI$5,Inputs!$C$18:$E$18,0))</f>
        <v>0</v>
      </c>
    </row>
    <row r="36" ht="15.75" customHeight="1">
      <c r="A36" s="51" t="s">
        <v>302</v>
      </c>
      <c r="B36" s="3" t="s">
        <v>29</v>
      </c>
      <c r="C36" s="57">
        <f t="array" ref="C36">INDEX(Inputs!$C$41:$E$41,MATCH(C$5,Inputs!$C$18:$E$18,0))</f>
        <v>0.5</v>
      </c>
      <c r="D36" s="57">
        <f t="array" ref="D36">INDEX(Inputs!$C$41:$E$41,MATCH(D$5,Inputs!$C$18:$E$18,0))</f>
        <v>0</v>
      </c>
      <c r="E36" s="57">
        <f t="array" ref="E36">INDEX(Inputs!$C$41:$E$41,MATCH(E$5,Inputs!$C$18:$E$18,0))</f>
        <v>0</v>
      </c>
      <c r="F36" s="57">
        <f t="array" ref="F36">INDEX(Inputs!$C$41:$E$41,MATCH(F$5,Inputs!$C$18:$E$18,0))</f>
        <v>0.5</v>
      </c>
      <c r="G36" s="57">
        <f t="array" ref="G36">INDEX(Inputs!$C$41:$E$41,MATCH(G$5,Inputs!$C$18:$E$18,0))</f>
        <v>0</v>
      </c>
      <c r="H36" s="57">
        <f t="array" ref="H36">INDEX(Inputs!$C$41:$E$41,MATCH(H$5,Inputs!$C$18:$E$18,0))</f>
        <v>0</v>
      </c>
      <c r="I36" s="57">
        <f t="array" ref="I36">INDEX(Inputs!$C$41:$E$41,MATCH(I$5,Inputs!$C$18:$E$18,0))</f>
        <v>0.5</v>
      </c>
      <c r="J36" s="57">
        <f t="array" ref="J36">INDEX(Inputs!$C$41:$E$41,MATCH(J$5,Inputs!$C$18:$E$18,0))</f>
        <v>0</v>
      </c>
      <c r="K36" s="57">
        <f t="array" ref="K36">INDEX(Inputs!$C$41:$E$41,MATCH(K$5,Inputs!$C$18:$E$18,0))</f>
        <v>0</v>
      </c>
      <c r="L36" s="57">
        <f t="array" ref="L36">INDEX(Inputs!$C$41:$E$41,MATCH(L$5,Inputs!$C$18:$E$18,0))</f>
        <v>0.5</v>
      </c>
      <c r="M36" s="57">
        <f t="array" ref="M36">INDEX(Inputs!$C$41:$E$41,MATCH(M$5,Inputs!$C$18:$E$18,0))</f>
        <v>0</v>
      </c>
      <c r="N36" s="57">
        <f t="array" ref="N36">INDEX(Inputs!$C$41:$E$41,MATCH(N$5,Inputs!$C$18:$E$18,0))</f>
        <v>0</v>
      </c>
      <c r="O36" s="57">
        <f t="array" ref="O36">INDEX(Inputs!$C$41:$E$41,MATCH(O$5,Inputs!$C$18:$E$18,0))</f>
        <v>0.5</v>
      </c>
      <c r="P36" s="57">
        <f t="array" ref="P36">INDEX(Inputs!$C$41:$E$41,MATCH(P$5,Inputs!$C$18:$E$18,0))</f>
        <v>0</v>
      </c>
      <c r="Q36" s="57">
        <f t="array" ref="Q36">INDEX(Inputs!$C$41:$E$41,MATCH(Q$5,Inputs!$C$18:$E$18,0))</f>
        <v>0</v>
      </c>
      <c r="R36" s="57">
        <f t="array" ref="R36">INDEX(Inputs!$C$41:$E$41,MATCH(R$5,Inputs!$C$18:$E$18,0))</f>
        <v>0.5</v>
      </c>
      <c r="S36" s="57">
        <f t="array" ref="S36">INDEX(Inputs!$C$41:$E$41,MATCH(S$5,Inputs!$C$18:$E$18,0))</f>
        <v>0</v>
      </c>
      <c r="T36" s="57">
        <f t="array" ref="T36">INDEX(Inputs!$C$41:$E$41,MATCH(T$5,Inputs!$C$18:$E$18,0))</f>
        <v>0</v>
      </c>
      <c r="U36" s="57">
        <f t="array" ref="U36">INDEX(Inputs!$C$41:$E$41,MATCH(U$5,Inputs!$C$18:$E$18,0))</f>
        <v>0.5</v>
      </c>
      <c r="V36" s="57">
        <f t="array" ref="V36">INDEX(Inputs!$C$41:$E$41,MATCH(V$5,Inputs!$C$18:$E$18,0))</f>
        <v>0</v>
      </c>
      <c r="W36" s="57">
        <f t="array" ref="W36">INDEX(Inputs!$C$41:$E$41,MATCH(W$5,Inputs!$C$18:$E$18,0))</f>
        <v>0</v>
      </c>
      <c r="X36" s="57">
        <f t="array" ref="X36">INDEX(Inputs!$C$41:$E$41,MATCH(X$5,Inputs!$C$18:$E$18,0))</f>
        <v>0.5</v>
      </c>
      <c r="Y36" s="57">
        <f t="array" ref="Y36">INDEX(Inputs!$C$41:$E$41,MATCH(Y$5,Inputs!$C$18:$E$18,0))</f>
        <v>0</v>
      </c>
      <c r="Z36" s="57">
        <f t="array" ref="Z36">INDEX(Inputs!$C$41:$E$41,MATCH(Z$5,Inputs!$C$18:$E$18,0))</f>
        <v>0</v>
      </c>
      <c r="AA36" s="57">
        <f t="array" ref="AA36">INDEX(Inputs!$C$41:$E$41,MATCH(AA$5,Inputs!$C$18:$E$18,0))</f>
        <v>0.5</v>
      </c>
      <c r="AB36" s="57">
        <f t="array" ref="AB36">INDEX(Inputs!$C$41:$E$41,MATCH(AB$5,Inputs!$C$18:$E$18,0))</f>
        <v>0</v>
      </c>
      <c r="AC36" s="57">
        <f t="array" ref="AC36">INDEX(Inputs!$C$41:$E$41,MATCH(AC$5,Inputs!$C$18:$E$18,0))</f>
        <v>0</v>
      </c>
      <c r="AD36" s="57">
        <f t="array" ref="AD36">INDEX(Inputs!$C$41:$E$41,MATCH(AD$5,Inputs!$C$18:$E$18,0))</f>
        <v>0.5</v>
      </c>
      <c r="AE36" s="57">
        <f t="array" ref="AE36">INDEX(Inputs!$C$41:$E$41,MATCH(AE$5,Inputs!$C$18:$E$18,0))</f>
        <v>0</v>
      </c>
      <c r="AF36" s="57">
        <f t="array" ref="AF36">INDEX(Inputs!$C$41:$E$41,MATCH(AF$5,Inputs!$C$18:$E$18,0))</f>
        <v>0</v>
      </c>
      <c r="AG36" s="57">
        <f t="array" ref="AG36">INDEX(Inputs!$C$41:$E$41,MATCH(AG$5,Inputs!$C$18:$E$18,0))</f>
        <v>0.5</v>
      </c>
      <c r="AH36" s="57">
        <f t="array" ref="AH36">INDEX(Inputs!$C$41:$E$41,MATCH(AH$5,Inputs!$C$18:$E$18,0))</f>
        <v>0</v>
      </c>
      <c r="AI36" s="57">
        <f t="array" ref="AI36">INDEX(Inputs!$C$41:$E$41,MATCH(AI$5,Inputs!$C$18:$E$18,0))</f>
        <v>0</v>
      </c>
    </row>
    <row r="37" ht="15.75" customHeight="1">
      <c r="A37" s="51" t="s">
        <v>303</v>
      </c>
      <c r="B37" s="3"/>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ht="15.75" customHeight="1">
      <c r="A38" s="51" t="s">
        <v>304</v>
      </c>
      <c r="B38" s="3" t="s">
        <v>109</v>
      </c>
      <c r="C38" s="65">
        <f>(Inputs!$B$9*C$10+C15)/1000</f>
        <v>3.654</v>
      </c>
      <c r="D38" s="65">
        <f>(Inputs!$B$9*D$10+D15)/1000</f>
        <v>3.464</v>
      </c>
      <c r="E38" s="65">
        <f>(Inputs!$B$9*E$10+E15)/1000</f>
        <v>3.584</v>
      </c>
      <c r="F38" s="65">
        <f>(Inputs!$B$9*F$10+F15)/1000</f>
        <v>3.654</v>
      </c>
      <c r="G38" s="65">
        <f>(Inputs!$B$9*G$10+G15)/1000</f>
        <v>3.464</v>
      </c>
      <c r="H38" s="65">
        <f>(Inputs!$B$9*H$10+H15)/1000</f>
        <v>3.584</v>
      </c>
      <c r="I38" s="65">
        <f>(Inputs!$B$9*I$10+I15)/1000</f>
        <v>3.654</v>
      </c>
      <c r="J38" s="65">
        <f>(Inputs!$B$9*J$10+J15)/1000</f>
        <v>3.464</v>
      </c>
      <c r="K38" s="65">
        <f>(Inputs!$B$9*K$10+K15)/1000</f>
        <v>3.584</v>
      </c>
      <c r="L38" s="65">
        <f>(Inputs!$B$9*L$10+L15)/1000</f>
        <v>3.654</v>
      </c>
      <c r="M38" s="65">
        <f>(Inputs!$B$9*M$10+M15)/1000</f>
        <v>3.464</v>
      </c>
      <c r="N38" s="65">
        <f>(Inputs!$B$9*N$10+N15)/1000</f>
        <v>3.584</v>
      </c>
      <c r="O38" s="65">
        <f>(Inputs!$B$9*O$10+O15)/1000</f>
        <v>3.654</v>
      </c>
      <c r="P38" s="65">
        <f>(Inputs!$B$9*P$10+P15)/1000</f>
        <v>3.464</v>
      </c>
      <c r="Q38" s="65">
        <f>(Inputs!$B$9*Q$10+Q15)/1000</f>
        <v>3.584</v>
      </c>
      <c r="R38" s="65">
        <f>(Inputs!$B$9*R$10+R15)/1000</f>
        <v>3.654</v>
      </c>
      <c r="S38" s="65">
        <f>(Inputs!$B$9*S$10+S15)/1000</f>
        <v>3.464</v>
      </c>
      <c r="T38" s="65">
        <f>(Inputs!$B$9*T$10+T15)/1000</f>
        <v>3.584</v>
      </c>
      <c r="U38" s="65">
        <f>(Inputs!$B$9*U$10+U15)/1000</f>
        <v>4.1241</v>
      </c>
      <c r="V38" s="65">
        <f>(Inputs!$B$9*V$10+V15)/1000</f>
        <v>3.9341</v>
      </c>
      <c r="W38" s="65">
        <f>(Inputs!$B$9*W$10+W15)/1000</f>
        <v>4.0541</v>
      </c>
      <c r="X38" s="65">
        <f>(Inputs!$B$9*X$10+X15)/1000</f>
        <v>3.654</v>
      </c>
      <c r="Y38" s="65">
        <f>(Inputs!$B$9*Y$10+Y15)/1000</f>
        <v>3.464</v>
      </c>
      <c r="Z38" s="65">
        <f>(Inputs!$B$9*Z$10+Z15)/1000</f>
        <v>3.584</v>
      </c>
      <c r="AA38" s="65">
        <f>(Inputs!$B$9*AA$10+AA15)/1000</f>
        <v>3.654</v>
      </c>
      <c r="AB38" s="65">
        <f>(Inputs!$B$9*AB$10+AB15)/1000</f>
        <v>3.464</v>
      </c>
      <c r="AC38" s="65">
        <f>(Inputs!$B$9*AC$10+AC15)/1000</f>
        <v>3.584</v>
      </c>
      <c r="AD38" s="65">
        <f>(Inputs!$B$9*AD$10+AD15)/1000</f>
        <v>4.1241</v>
      </c>
      <c r="AE38" s="65">
        <f>(Inputs!$B$9*AE$10+AE15)/1000</f>
        <v>3.9341</v>
      </c>
      <c r="AF38" s="65">
        <f>(Inputs!$B$9*AF$10+AF15)/1000</f>
        <v>4.0541</v>
      </c>
      <c r="AG38" s="65">
        <f>(Inputs!$B$9*AG$10+AG15)/1000</f>
        <v>3.654</v>
      </c>
      <c r="AH38" s="65">
        <f>(Inputs!$B$9*AH$10+AH15)/1000</f>
        <v>3.464</v>
      </c>
      <c r="AI38" s="65">
        <f>(Inputs!$B$9*AI$10+AI15)/1000</f>
        <v>3.584</v>
      </c>
    </row>
    <row r="39" ht="15.75" customHeight="1">
      <c r="A39" s="51" t="s">
        <v>305</v>
      </c>
      <c r="B39" s="3" t="s">
        <v>100</v>
      </c>
      <c r="C39" s="65">
        <f>Inputs!$B$7/1000*C38</f>
        <v>0.31059</v>
      </c>
      <c r="D39" s="65">
        <f>Inputs!$B$7/1000*D38</f>
        <v>0.29444</v>
      </c>
      <c r="E39" s="65">
        <f>Inputs!$B$7/1000*E38</f>
        <v>0.30464</v>
      </c>
      <c r="F39" s="65">
        <f>Inputs!$B$7/1000*F38</f>
        <v>0.31059</v>
      </c>
      <c r="G39" s="65">
        <f>Inputs!$B$7/1000*G38</f>
        <v>0.29444</v>
      </c>
      <c r="H39" s="65">
        <f>Inputs!$B$7/1000*H38</f>
        <v>0.30464</v>
      </c>
      <c r="I39" s="65">
        <f>Inputs!$B$7/1000*I38</f>
        <v>0.31059</v>
      </c>
      <c r="J39" s="65">
        <f>Inputs!$B$7/1000*J38</f>
        <v>0.29444</v>
      </c>
      <c r="K39" s="65">
        <f>Inputs!$B$7/1000*K38</f>
        <v>0.30464</v>
      </c>
      <c r="L39" s="65">
        <f>Inputs!$B$7/1000*L38</f>
        <v>0.31059</v>
      </c>
      <c r="M39" s="65">
        <f>Inputs!$B$7/1000*M38</f>
        <v>0.29444</v>
      </c>
      <c r="N39" s="65">
        <f>Inputs!$B$7/1000*N38</f>
        <v>0.30464</v>
      </c>
      <c r="O39" s="65">
        <f>Inputs!$B$7/1000*O38</f>
        <v>0.31059</v>
      </c>
      <c r="P39" s="65">
        <f>Inputs!$B$7/1000*P38</f>
        <v>0.29444</v>
      </c>
      <c r="Q39" s="65">
        <f>Inputs!$B$7/1000*Q38</f>
        <v>0.30464</v>
      </c>
      <c r="R39" s="65">
        <f>Inputs!$B$7/1000*R38</f>
        <v>0.31059</v>
      </c>
      <c r="S39" s="65">
        <f>Inputs!$B$7/1000*S38</f>
        <v>0.29444</v>
      </c>
      <c r="T39" s="65">
        <f>Inputs!$B$7/1000*T38</f>
        <v>0.30464</v>
      </c>
      <c r="U39" s="65">
        <f>Inputs!$B$7/1000*U38</f>
        <v>0.3505485</v>
      </c>
      <c r="V39" s="65">
        <f>Inputs!$B$7/1000*V38</f>
        <v>0.3343985</v>
      </c>
      <c r="W39" s="65">
        <f>Inputs!$B$7/1000*W38</f>
        <v>0.3445985</v>
      </c>
      <c r="X39" s="65">
        <f>Inputs!$B$7/1000*X38</f>
        <v>0.31059</v>
      </c>
      <c r="Y39" s="65">
        <f>Inputs!$B$7/1000*Y38</f>
        <v>0.29444</v>
      </c>
      <c r="Z39" s="65">
        <f>Inputs!$B$7/1000*Z38</f>
        <v>0.30464</v>
      </c>
      <c r="AA39" s="65">
        <f>Inputs!$B$7/1000*AA38</f>
        <v>0.31059</v>
      </c>
      <c r="AB39" s="65">
        <f>Inputs!$B$7/1000*AB38</f>
        <v>0.29444</v>
      </c>
      <c r="AC39" s="65">
        <f>Inputs!$B$7/1000*AC38</f>
        <v>0.30464</v>
      </c>
      <c r="AD39" s="65">
        <f>Inputs!$B$7/1000*AD38</f>
        <v>0.3505485</v>
      </c>
      <c r="AE39" s="65">
        <f>Inputs!$B$7/1000*AE38</f>
        <v>0.3343985</v>
      </c>
      <c r="AF39" s="65">
        <f>Inputs!$B$7/1000*AF38</f>
        <v>0.3445985</v>
      </c>
      <c r="AG39" s="65">
        <f>Inputs!$B$7/1000*AG38</f>
        <v>0.31059</v>
      </c>
      <c r="AH39" s="65">
        <f>Inputs!$B$7/1000*AH38</f>
        <v>0.29444</v>
      </c>
      <c r="AI39" s="65">
        <f>Inputs!$B$7/1000*AI38</f>
        <v>0.30464</v>
      </c>
    </row>
    <row r="40" ht="15.75" customHeight="1">
      <c r="A40" s="51" t="s">
        <v>306</v>
      </c>
      <c r="B40" s="3" t="s">
        <v>100</v>
      </c>
      <c r="C40" s="65">
        <f>-(Inputs!$B$7-Inputs!$B$6)/1000*(Inputs!$B$9*C$10/1000)*Inputs!$B$8</f>
        <v>-0.1071828</v>
      </c>
      <c r="D40" s="65">
        <f>-(Inputs!$B$7-Inputs!$B$6)/1000*(Inputs!$B$9*D$10/1000)*Inputs!$B$8</f>
        <v>-0.1071828</v>
      </c>
      <c r="E40" s="65">
        <f>-(Inputs!$B$7-Inputs!$B$6)/1000*(Inputs!$B$9*E$10/1000)*Inputs!$B$8</f>
        <v>-0.1071828</v>
      </c>
      <c r="F40" s="65">
        <f>-(Inputs!$B$7-Inputs!$B$6)/1000*(Inputs!$B$9*F$10/1000)*Inputs!$B$8</f>
        <v>-0.1071828</v>
      </c>
      <c r="G40" s="65">
        <f>-(Inputs!$B$7-Inputs!$B$6)/1000*(Inputs!$B$9*G$10/1000)*Inputs!$B$8</f>
        <v>-0.1071828</v>
      </c>
      <c r="H40" s="65">
        <f>-(Inputs!$B$7-Inputs!$B$6)/1000*(Inputs!$B$9*H$10/1000)*Inputs!$B$8</f>
        <v>-0.1071828</v>
      </c>
      <c r="I40" s="65">
        <f>-(Inputs!$B$7-Inputs!$B$6)/1000*(Inputs!$B$9*I$10/1000)*Inputs!$B$8</f>
        <v>-0.1071828</v>
      </c>
      <c r="J40" s="65">
        <f>-(Inputs!$B$7-Inputs!$B$6)/1000*(Inputs!$B$9*J$10/1000)*Inputs!$B$8</f>
        <v>-0.1071828</v>
      </c>
      <c r="K40" s="65">
        <f>-(Inputs!$B$7-Inputs!$B$6)/1000*(Inputs!$B$9*K$10/1000)*Inputs!$B$8</f>
        <v>-0.1071828</v>
      </c>
      <c r="L40" s="65">
        <f>-(Inputs!$B$7-Inputs!$B$6)/1000*(Inputs!$B$9*L$10/1000)*Inputs!$B$8</f>
        <v>-0.1071828</v>
      </c>
      <c r="M40" s="65">
        <f>-(Inputs!$B$7-Inputs!$B$6)/1000*(Inputs!$B$9*M$10/1000)*Inputs!$B$8</f>
        <v>-0.1071828</v>
      </c>
      <c r="N40" s="65">
        <f>-(Inputs!$B$7-Inputs!$B$6)/1000*(Inputs!$B$9*N$10/1000)*Inputs!$B$8</f>
        <v>-0.1071828</v>
      </c>
      <c r="O40" s="65">
        <f>-(Inputs!$B$7-Inputs!$B$6)/1000*(Inputs!$B$9*O$10/1000)*Inputs!$B$8</f>
        <v>-0.1071828</v>
      </c>
      <c r="P40" s="65">
        <f>-(Inputs!$B$7-Inputs!$B$6)/1000*(Inputs!$B$9*P$10/1000)*Inputs!$B$8</f>
        <v>-0.1071828</v>
      </c>
      <c r="Q40" s="65">
        <f>-(Inputs!$B$7-Inputs!$B$6)/1000*(Inputs!$B$9*Q$10/1000)*Inputs!$B$8</f>
        <v>-0.1071828</v>
      </c>
      <c r="R40" s="65">
        <f>-(Inputs!$B$7-Inputs!$B$6)/1000*(Inputs!$B$9*R$10/1000)*Inputs!$B$8</f>
        <v>-0.1071828</v>
      </c>
      <c r="S40" s="65">
        <f>-(Inputs!$B$7-Inputs!$B$6)/1000*(Inputs!$B$9*S$10/1000)*Inputs!$B$8</f>
        <v>-0.1071828</v>
      </c>
      <c r="T40" s="65">
        <f>-(Inputs!$B$7-Inputs!$B$6)/1000*(Inputs!$B$9*T$10/1000)*Inputs!$B$8</f>
        <v>-0.1071828</v>
      </c>
      <c r="U40" s="65">
        <f>-(Inputs!$B$7-Inputs!$B$6)/1000*(Inputs!$B$9*U$10/1000)*Inputs!$B$8</f>
        <v>-0.12326022</v>
      </c>
      <c r="V40" s="65">
        <f>-(Inputs!$B$7-Inputs!$B$6)/1000*(Inputs!$B$9*V$10/1000)*Inputs!$B$8</f>
        <v>-0.12326022</v>
      </c>
      <c r="W40" s="65">
        <f>-(Inputs!$B$7-Inputs!$B$6)/1000*(Inputs!$B$9*W$10/1000)*Inputs!$B$8</f>
        <v>-0.12326022</v>
      </c>
      <c r="X40" s="65">
        <f>-(Inputs!$B$7-Inputs!$B$6)/1000*(Inputs!$B$9*X$10/1000)*Inputs!$B$8</f>
        <v>-0.1071828</v>
      </c>
      <c r="Y40" s="65">
        <f>-(Inputs!$B$7-Inputs!$B$6)/1000*(Inputs!$B$9*Y$10/1000)*Inputs!$B$8</f>
        <v>-0.1071828</v>
      </c>
      <c r="Z40" s="65">
        <f>-(Inputs!$B$7-Inputs!$B$6)/1000*(Inputs!$B$9*Z$10/1000)*Inputs!$B$8</f>
        <v>-0.1071828</v>
      </c>
      <c r="AA40" s="65">
        <f>-(Inputs!$B$7-Inputs!$B$6)/1000*(Inputs!$B$9*AA$10/1000)*Inputs!$B$8</f>
        <v>-0.1071828</v>
      </c>
      <c r="AB40" s="65">
        <f>-(Inputs!$B$7-Inputs!$B$6)/1000*(Inputs!$B$9*AB$10/1000)*Inputs!$B$8</f>
        <v>-0.1071828</v>
      </c>
      <c r="AC40" s="65">
        <f>-(Inputs!$B$7-Inputs!$B$6)/1000*(Inputs!$B$9*AC$10/1000)*Inputs!$B$8</f>
        <v>-0.1071828</v>
      </c>
      <c r="AD40" s="65">
        <f>-(Inputs!$B$7-Inputs!$B$6)/1000*(Inputs!$B$9*AD$10/1000)*Inputs!$B$8</f>
        <v>-0.12326022</v>
      </c>
      <c r="AE40" s="65">
        <f>-(Inputs!$B$7-Inputs!$B$6)/1000*(Inputs!$B$9*AE$10/1000)*Inputs!$B$8</f>
        <v>-0.12326022</v>
      </c>
      <c r="AF40" s="65">
        <f>-(Inputs!$B$7-Inputs!$B$6)/1000*(Inputs!$B$9*AF$10/1000)*Inputs!$B$8</f>
        <v>-0.12326022</v>
      </c>
      <c r="AG40" s="65">
        <f>-(Inputs!$B$7-Inputs!$B$6)/1000*(Inputs!$B$9*AG$10/1000)*Inputs!$B$8</f>
        <v>-0.1071828</v>
      </c>
      <c r="AH40" s="65">
        <f>-(Inputs!$B$7-Inputs!$B$6)/1000*(Inputs!$B$9*AH$10/1000)*Inputs!$B$8</f>
        <v>-0.1071828</v>
      </c>
      <c r="AI40" s="65">
        <f>-(Inputs!$B$7-Inputs!$B$6)/1000*(Inputs!$B$9*AI$10/1000)*Inputs!$B$8</f>
        <v>-0.1071828</v>
      </c>
    </row>
    <row r="41" ht="15.75" customHeight="1">
      <c r="A41" s="51" t="s">
        <v>189</v>
      </c>
      <c r="B41" s="3" t="s">
        <v>100</v>
      </c>
      <c r="C41" s="65">
        <f t="shared" ref="C41:AI41" si="2">C39+C40</f>
        <v>0.2034072</v>
      </c>
      <c r="D41" s="65">
        <f t="shared" si="2"/>
        <v>0.1872572</v>
      </c>
      <c r="E41" s="65">
        <f t="shared" si="2"/>
        <v>0.1974572</v>
      </c>
      <c r="F41" s="65">
        <f t="shared" si="2"/>
        <v>0.2034072</v>
      </c>
      <c r="G41" s="65">
        <f t="shared" si="2"/>
        <v>0.1872572</v>
      </c>
      <c r="H41" s="65">
        <f t="shared" si="2"/>
        <v>0.1974572</v>
      </c>
      <c r="I41" s="65">
        <f t="shared" si="2"/>
        <v>0.2034072</v>
      </c>
      <c r="J41" s="65">
        <f t="shared" si="2"/>
        <v>0.1872572</v>
      </c>
      <c r="K41" s="65">
        <f t="shared" si="2"/>
        <v>0.1974572</v>
      </c>
      <c r="L41" s="65">
        <f t="shared" si="2"/>
        <v>0.2034072</v>
      </c>
      <c r="M41" s="65">
        <f t="shared" si="2"/>
        <v>0.1872572</v>
      </c>
      <c r="N41" s="65">
        <f t="shared" si="2"/>
        <v>0.1974572</v>
      </c>
      <c r="O41" s="65">
        <f t="shared" si="2"/>
        <v>0.2034072</v>
      </c>
      <c r="P41" s="65">
        <f t="shared" si="2"/>
        <v>0.1872572</v>
      </c>
      <c r="Q41" s="65">
        <f t="shared" si="2"/>
        <v>0.1974572</v>
      </c>
      <c r="R41" s="65">
        <f t="shared" si="2"/>
        <v>0.2034072</v>
      </c>
      <c r="S41" s="65">
        <f t="shared" si="2"/>
        <v>0.1872572</v>
      </c>
      <c r="T41" s="65">
        <f t="shared" si="2"/>
        <v>0.1974572</v>
      </c>
      <c r="U41" s="65">
        <f t="shared" si="2"/>
        <v>0.22728828</v>
      </c>
      <c r="V41" s="65">
        <f t="shared" si="2"/>
        <v>0.21113828</v>
      </c>
      <c r="W41" s="65">
        <f t="shared" si="2"/>
        <v>0.22133828</v>
      </c>
      <c r="X41" s="65">
        <f t="shared" si="2"/>
        <v>0.2034072</v>
      </c>
      <c r="Y41" s="65">
        <f t="shared" si="2"/>
        <v>0.1872572</v>
      </c>
      <c r="Z41" s="65">
        <f t="shared" si="2"/>
        <v>0.1974572</v>
      </c>
      <c r="AA41" s="65">
        <f t="shared" si="2"/>
        <v>0.2034072</v>
      </c>
      <c r="AB41" s="65">
        <f t="shared" si="2"/>
        <v>0.1872572</v>
      </c>
      <c r="AC41" s="65">
        <f t="shared" si="2"/>
        <v>0.1974572</v>
      </c>
      <c r="AD41" s="65">
        <f t="shared" si="2"/>
        <v>0.22728828</v>
      </c>
      <c r="AE41" s="65">
        <f t="shared" si="2"/>
        <v>0.21113828</v>
      </c>
      <c r="AF41" s="65">
        <f t="shared" si="2"/>
        <v>0.22133828</v>
      </c>
      <c r="AG41" s="65">
        <f t="shared" si="2"/>
        <v>0.2034072</v>
      </c>
      <c r="AH41" s="65">
        <f t="shared" si="2"/>
        <v>0.1872572</v>
      </c>
      <c r="AI41" s="65">
        <f t="shared" si="2"/>
        <v>0.1974572</v>
      </c>
    </row>
    <row r="42" ht="15.75" customHeight="1">
      <c r="A42" s="51" t="s">
        <v>190</v>
      </c>
      <c r="B42" s="3" t="s">
        <v>100</v>
      </c>
      <c r="C42" s="65">
        <f t="shared" ref="C42:AI42" si="3">C16/60*C17</f>
        <v>2.1</v>
      </c>
      <c r="D42" s="65">
        <f t="shared" si="3"/>
        <v>1.533333333</v>
      </c>
      <c r="E42" s="65">
        <f t="shared" si="3"/>
        <v>1.833333333</v>
      </c>
      <c r="F42" s="65">
        <f t="shared" si="3"/>
        <v>2.1</v>
      </c>
      <c r="G42" s="65">
        <f t="shared" si="3"/>
        <v>1.533333333</v>
      </c>
      <c r="H42" s="65">
        <f t="shared" si="3"/>
        <v>1.833333333</v>
      </c>
      <c r="I42" s="65">
        <f t="shared" si="3"/>
        <v>2.1</v>
      </c>
      <c r="J42" s="65">
        <f t="shared" si="3"/>
        <v>1.533333333</v>
      </c>
      <c r="K42" s="65">
        <f t="shared" si="3"/>
        <v>1.833333333</v>
      </c>
      <c r="L42" s="65">
        <f t="shared" si="3"/>
        <v>2.1</v>
      </c>
      <c r="M42" s="65">
        <f t="shared" si="3"/>
        <v>1.533333333</v>
      </c>
      <c r="N42" s="65">
        <f t="shared" si="3"/>
        <v>1.833333333</v>
      </c>
      <c r="O42" s="65">
        <f t="shared" si="3"/>
        <v>2.1</v>
      </c>
      <c r="P42" s="65">
        <f t="shared" si="3"/>
        <v>1.533333333</v>
      </c>
      <c r="Q42" s="65">
        <f t="shared" si="3"/>
        <v>1.833333333</v>
      </c>
      <c r="R42" s="65">
        <f t="shared" si="3"/>
        <v>2.1</v>
      </c>
      <c r="S42" s="65">
        <f t="shared" si="3"/>
        <v>1.533333333</v>
      </c>
      <c r="T42" s="65">
        <f t="shared" si="3"/>
        <v>1.833333333</v>
      </c>
      <c r="U42" s="65">
        <f t="shared" si="3"/>
        <v>2.1</v>
      </c>
      <c r="V42" s="65">
        <f t="shared" si="3"/>
        <v>1.533333333</v>
      </c>
      <c r="W42" s="65">
        <f t="shared" si="3"/>
        <v>1.833333333</v>
      </c>
      <c r="X42" s="65">
        <f t="shared" si="3"/>
        <v>2.1</v>
      </c>
      <c r="Y42" s="65">
        <f t="shared" si="3"/>
        <v>1.533333333</v>
      </c>
      <c r="Z42" s="65">
        <f t="shared" si="3"/>
        <v>1.833333333</v>
      </c>
      <c r="AA42" s="65">
        <f t="shared" si="3"/>
        <v>2.1</v>
      </c>
      <c r="AB42" s="65">
        <f t="shared" si="3"/>
        <v>1.533333333</v>
      </c>
      <c r="AC42" s="65">
        <f t="shared" si="3"/>
        <v>1.833333333</v>
      </c>
      <c r="AD42" s="65">
        <f t="shared" si="3"/>
        <v>2.1</v>
      </c>
      <c r="AE42" s="65">
        <f t="shared" si="3"/>
        <v>1.533333333</v>
      </c>
      <c r="AF42" s="65">
        <f t="shared" si="3"/>
        <v>1.833333333</v>
      </c>
      <c r="AG42" s="65">
        <f t="shared" si="3"/>
        <v>2.1</v>
      </c>
      <c r="AH42" s="65">
        <f t="shared" si="3"/>
        <v>1.533333333</v>
      </c>
      <c r="AI42" s="65">
        <f t="shared" si="3"/>
        <v>1.833333333</v>
      </c>
    </row>
    <row r="43" ht="15.75" customHeight="1">
      <c r="A43" s="51" t="s">
        <v>191</v>
      </c>
      <c r="B43" s="3" t="s">
        <v>100</v>
      </c>
      <c r="C43" s="65">
        <f t="shared" ref="C43:AI43" si="4">C16/60*C18*C19</f>
        <v>0.12</v>
      </c>
      <c r="D43" s="65">
        <f t="shared" si="4"/>
        <v>0.2166666667</v>
      </c>
      <c r="E43" s="65">
        <f t="shared" si="4"/>
        <v>0.1393333333</v>
      </c>
      <c r="F43" s="65">
        <f t="shared" si="4"/>
        <v>0.12</v>
      </c>
      <c r="G43" s="65">
        <f t="shared" si="4"/>
        <v>0.2166666667</v>
      </c>
      <c r="H43" s="65">
        <f t="shared" si="4"/>
        <v>0.1393333333</v>
      </c>
      <c r="I43" s="65">
        <f t="shared" si="4"/>
        <v>0.12</v>
      </c>
      <c r="J43" s="65">
        <f t="shared" si="4"/>
        <v>0.2166666667</v>
      </c>
      <c r="K43" s="65">
        <f t="shared" si="4"/>
        <v>0.1393333333</v>
      </c>
      <c r="L43" s="65">
        <f t="shared" si="4"/>
        <v>0.12</v>
      </c>
      <c r="M43" s="65">
        <f t="shared" si="4"/>
        <v>0.2166666667</v>
      </c>
      <c r="N43" s="65">
        <f t="shared" si="4"/>
        <v>0.1393333333</v>
      </c>
      <c r="O43" s="65">
        <f t="shared" si="4"/>
        <v>0.12</v>
      </c>
      <c r="P43" s="65">
        <f t="shared" si="4"/>
        <v>0.2166666667</v>
      </c>
      <c r="Q43" s="65">
        <f t="shared" si="4"/>
        <v>0.1393333333</v>
      </c>
      <c r="R43" s="65">
        <f t="shared" si="4"/>
        <v>0.12</v>
      </c>
      <c r="S43" s="65">
        <f t="shared" si="4"/>
        <v>0.2166666667</v>
      </c>
      <c r="T43" s="65">
        <f t="shared" si="4"/>
        <v>0.1393333333</v>
      </c>
      <c r="U43" s="65">
        <f t="shared" si="4"/>
        <v>0.12</v>
      </c>
      <c r="V43" s="65">
        <f t="shared" si="4"/>
        <v>0.2166666667</v>
      </c>
      <c r="W43" s="65">
        <f t="shared" si="4"/>
        <v>0.1393333333</v>
      </c>
      <c r="X43" s="65">
        <f t="shared" si="4"/>
        <v>0.12</v>
      </c>
      <c r="Y43" s="65">
        <f t="shared" si="4"/>
        <v>0.2166666667</v>
      </c>
      <c r="Z43" s="65">
        <f t="shared" si="4"/>
        <v>0.1393333333</v>
      </c>
      <c r="AA43" s="65">
        <f t="shared" si="4"/>
        <v>0.12</v>
      </c>
      <c r="AB43" s="65">
        <f t="shared" si="4"/>
        <v>0.2166666667</v>
      </c>
      <c r="AC43" s="65">
        <f t="shared" si="4"/>
        <v>0.1393333333</v>
      </c>
      <c r="AD43" s="65">
        <f t="shared" si="4"/>
        <v>0.12</v>
      </c>
      <c r="AE43" s="65">
        <f t="shared" si="4"/>
        <v>0.2166666667</v>
      </c>
      <c r="AF43" s="65">
        <f t="shared" si="4"/>
        <v>0.1393333333</v>
      </c>
      <c r="AG43" s="65">
        <f t="shared" si="4"/>
        <v>0.12</v>
      </c>
      <c r="AH43" s="65">
        <f t="shared" si="4"/>
        <v>0.2166666667</v>
      </c>
      <c r="AI43" s="65">
        <f t="shared" si="4"/>
        <v>0.1393333333</v>
      </c>
    </row>
    <row r="44" ht="15.75" customHeight="1">
      <c r="A44" s="51" t="s">
        <v>192</v>
      </c>
      <c r="B44" s="3" t="s">
        <v>100</v>
      </c>
      <c r="C44" s="65">
        <f t="shared" ref="C44:AI44" si="5">C20</f>
        <v>0.55</v>
      </c>
      <c r="D44" s="65">
        <f t="shared" si="5"/>
        <v>0.4</v>
      </c>
      <c r="E44" s="65">
        <f t="shared" si="5"/>
        <v>0.48</v>
      </c>
      <c r="F44" s="65">
        <f t="shared" si="5"/>
        <v>0.55</v>
      </c>
      <c r="G44" s="65">
        <f t="shared" si="5"/>
        <v>0.4</v>
      </c>
      <c r="H44" s="65">
        <f t="shared" si="5"/>
        <v>0.48</v>
      </c>
      <c r="I44" s="65">
        <f t="shared" si="5"/>
        <v>0.55</v>
      </c>
      <c r="J44" s="65">
        <f t="shared" si="5"/>
        <v>0.4</v>
      </c>
      <c r="K44" s="65">
        <f t="shared" si="5"/>
        <v>0.48</v>
      </c>
      <c r="L44" s="65">
        <f t="shared" si="5"/>
        <v>0.55</v>
      </c>
      <c r="M44" s="65">
        <f t="shared" si="5"/>
        <v>0.4</v>
      </c>
      <c r="N44" s="65">
        <f t="shared" si="5"/>
        <v>0.48</v>
      </c>
      <c r="O44" s="65">
        <f t="shared" si="5"/>
        <v>0.55</v>
      </c>
      <c r="P44" s="65">
        <f t="shared" si="5"/>
        <v>0.4</v>
      </c>
      <c r="Q44" s="65">
        <f t="shared" si="5"/>
        <v>0.48</v>
      </c>
      <c r="R44" s="65">
        <f t="shared" si="5"/>
        <v>0.55</v>
      </c>
      <c r="S44" s="65">
        <f t="shared" si="5"/>
        <v>0.4</v>
      </c>
      <c r="T44" s="65">
        <f t="shared" si="5"/>
        <v>0.48</v>
      </c>
      <c r="U44" s="65">
        <f t="shared" si="5"/>
        <v>0.55</v>
      </c>
      <c r="V44" s="65">
        <f t="shared" si="5"/>
        <v>0.4</v>
      </c>
      <c r="W44" s="65">
        <f t="shared" si="5"/>
        <v>0.48</v>
      </c>
      <c r="X44" s="65">
        <f t="shared" si="5"/>
        <v>0.55</v>
      </c>
      <c r="Y44" s="65">
        <f t="shared" si="5"/>
        <v>0.4</v>
      </c>
      <c r="Z44" s="65">
        <f t="shared" si="5"/>
        <v>0.48</v>
      </c>
      <c r="AA44" s="65">
        <f t="shared" si="5"/>
        <v>0.55</v>
      </c>
      <c r="AB44" s="65">
        <f t="shared" si="5"/>
        <v>0.4</v>
      </c>
      <c r="AC44" s="65">
        <f t="shared" si="5"/>
        <v>0.48</v>
      </c>
      <c r="AD44" s="65">
        <f t="shared" si="5"/>
        <v>0.55</v>
      </c>
      <c r="AE44" s="65">
        <f t="shared" si="5"/>
        <v>0.4</v>
      </c>
      <c r="AF44" s="65">
        <f t="shared" si="5"/>
        <v>0.48</v>
      </c>
      <c r="AG44" s="65">
        <f t="shared" si="5"/>
        <v>0.55</v>
      </c>
      <c r="AH44" s="65">
        <f t="shared" si="5"/>
        <v>0.4</v>
      </c>
      <c r="AI44" s="65">
        <f t="shared" si="5"/>
        <v>0.48</v>
      </c>
    </row>
    <row r="45" ht="15.75" customHeight="1">
      <c r="A45" s="51" t="s">
        <v>307</v>
      </c>
      <c r="B45" s="3" t="s">
        <v>100</v>
      </c>
      <c r="C45" s="65">
        <f t="shared" ref="C45:AI45" si="6">C42+C43+C44</f>
        <v>2.77</v>
      </c>
      <c r="D45" s="65">
        <f t="shared" si="6"/>
        <v>2.15</v>
      </c>
      <c r="E45" s="65">
        <f t="shared" si="6"/>
        <v>2.452666667</v>
      </c>
      <c r="F45" s="65">
        <f t="shared" si="6"/>
        <v>2.77</v>
      </c>
      <c r="G45" s="65">
        <f t="shared" si="6"/>
        <v>2.15</v>
      </c>
      <c r="H45" s="65">
        <f t="shared" si="6"/>
        <v>2.452666667</v>
      </c>
      <c r="I45" s="65">
        <f t="shared" si="6"/>
        <v>2.77</v>
      </c>
      <c r="J45" s="65">
        <f t="shared" si="6"/>
        <v>2.15</v>
      </c>
      <c r="K45" s="65">
        <f t="shared" si="6"/>
        <v>2.452666667</v>
      </c>
      <c r="L45" s="65">
        <f t="shared" si="6"/>
        <v>2.77</v>
      </c>
      <c r="M45" s="65">
        <f t="shared" si="6"/>
        <v>2.15</v>
      </c>
      <c r="N45" s="65">
        <f t="shared" si="6"/>
        <v>2.452666667</v>
      </c>
      <c r="O45" s="65">
        <f t="shared" si="6"/>
        <v>2.77</v>
      </c>
      <c r="P45" s="65">
        <f t="shared" si="6"/>
        <v>2.15</v>
      </c>
      <c r="Q45" s="65">
        <f t="shared" si="6"/>
        <v>2.452666667</v>
      </c>
      <c r="R45" s="65">
        <f t="shared" si="6"/>
        <v>2.77</v>
      </c>
      <c r="S45" s="65">
        <f t="shared" si="6"/>
        <v>2.15</v>
      </c>
      <c r="T45" s="65">
        <f t="shared" si="6"/>
        <v>2.452666667</v>
      </c>
      <c r="U45" s="65">
        <f t="shared" si="6"/>
        <v>2.77</v>
      </c>
      <c r="V45" s="65">
        <f t="shared" si="6"/>
        <v>2.15</v>
      </c>
      <c r="W45" s="65">
        <f t="shared" si="6"/>
        <v>2.452666667</v>
      </c>
      <c r="X45" s="65">
        <f t="shared" si="6"/>
        <v>2.77</v>
      </c>
      <c r="Y45" s="65">
        <f t="shared" si="6"/>
        <v>2.15</v>
      </c>
      <c r="Z45" s="65">
        <f t="shared" si="6"/>
        <v>2.452666667</v>
      </c>
      <c r="AA45" s="65">
        <f t="shared" si="6"/>
        <v>2.77</v>
      </c>
      <c r="AB45" s="65">
        <f t="shared" si="6"/>
        <v>2.15</v>
      </c>
      <c r="AC45" s="65">
        <f t="shared" si="6"/>
        <v>2.452666667</v>
      </c>
      <c r="AD45" s="65">
        <f t="shared" si="6"/>
        <v>2.77</v>
      </c>
      <c r="AE45" s="65">
        <f t="shared" si="6"/>
        <v>2.15</v>
      </c>
      <c r="AF45" s="65">
        <f t="shared" si="6"/>
        <v>2.452666667</v>
      </c>
      <c r="AG45" s="65">
        <f t="shared" si="6"/>
        <v>2.77</v>
      </c>
      <c r="AH45" s="65">
        <f t="shared" si="6"/>
        <v>2.15</v>
      </c>
      <c r="AI45" s="65">
        <f t="shared" si="6"/>
        <v>2.452666667</v>
      </c>
    </row>
    <row r="46" ht="15.75" customHeight="1">
      <c r="A46" s="51" t="s">
        <v>308</v>
      </c>
      <c r="B46" s="3" t="s">
        <v>29</v>
      </c>
      <c r="C46" s="66">
        <f>MIN(1,C21+IF(C$5=Inputs!$C$18,C$12,0))</f>
        <v>0.86</v>
      </c>
      <c r="D46" s="66">
        <f>MIN(1,D21+IF(D$5=Inputs!$C$18,D$12,0))</f>
        <v>0.93</v>
      </c>
      <c r="E46" s="66">
        <f>MIN(1,E21+IF(E$5=Inputs!$C$18,E$12,0))</f>
        <v>0.9</v>
      </c>
      <c r="F46" s="66">
        <f>MIN(1,F21+IF(F$5=Inputs!$C$18,F$12,0))</f>
        <v>0.86</v>
      </c>
      <c r="G46" s="66">
        <f>MIN(1,G21+IF(G$5=Inputs!$C$18,G$12,0))</f>
        <v>0.93</v>
      </c>
      <c r="H46" s="66">
        <f>MIN(1,H21+IF(H$5=Inputs!$C$18,H$12,0))</f>
        <v>0.9</v>
      </c>
      <c r="I46" s="66">
        <f>MIN(1,I21+IF(I$5=Inputs!$C$18,I$12,0))</f>
        <v>0.86</v>
      </c>
      <c r="J46" s="66">
        <f>MIN(1,J21+IF(J$5=Inputs!$C$18,J$12,0))</f>
        <v>0.93</v>
      </c>
      <c r="K46" s="66">
        <f>MIN(1,K21+IF(K$5=Inputs!$C$18,K$12,0))</f>
        <v>0.9</v>
      </c>
      <c r="L46" s="66">
        <f>MIN(1,L21+IF(L$5=Inputs!$C$18,L$12,0))</f>
        <v>0.86</v>
      </c>
      <c r="M46" s="66">
        <f>MIN(1,M21+IF(M$5=Inputs!$C$18,M$12,0))</f>
        <v>0.93</v>
      </c>
      <c r="N46" s="66">
        <f>MIN(1,N21+IF(N$5=Inputs!$C$18,N$12,0))</f>
        <v>0.9</v>
      </c>
      <c r="O46" s="66">
        <f>MIN(1,O21+IF(O$5=Inputs!$C$18,O$12,0))</f>
        <v>0.86</v>
      </c>
      <c r="P46" s="66">
        <f>MIN(1,P21+IF(P$5=Inputs!$C$18,P$12,0))</f>
        <v>0.93</v>
      </c>
      <c r="Q46" s="66">
        <f>MIN(1,Q21+IF(Q$5=Inputs!$C$18,Q$12,0))</f>
        <v>0.9</v>
      </c>
      <c r="R46" s="66">
        <f>MIN(1,R21+IF(R$5=Inputs!$C$18,R$12,0))</f>
        <v>0.86</v>
      </c>
      <c r="S46" s="66">
        <f>MIN(1,S21+IF(S$5=Inputs!$C$18,S$12,0))</f>
        <v>0.93</v>
      </c>
      <c r="T46" s="66">
        <f>MIN(1,T21+IF(T$5=Inputs!$C$18,T$12,0))</f>
        <v>0.9</v>
      </c>
      <c r="U46" s="66">
        <f>MIN(1,U21+IF(U$5=Inputs!$C$18,U$12,0))</f>
        <v>0.86</v>
      </c>
      <c r="V46" s="66">
        <f>MIN(1,V21+IF(V$5=Inputs!$C$18,V$12,0))</f>
        <v>0.93</v>
      </c>
      <c r="W46" s="66">
        <f>MIN(1,W21+IF(W$5=Inputs!$C$18,W$12,0))</f>
        <v>0.9</v>
      </c>
      <c r="X46" s="66">
        <f>MIN(1,X21+IF(X$5=Inputs!$C$18,X$12,0))</f>
        <v>0.86</v>
      </c>
      <c r="Y46" s="66">
        <f>MIN(1,Y21+IF(Y$5=Inputs!$C$18,Y$12,0))</f>
        <v>0.93</v>
      </c>
      <c r="Z46" s="66">
        <f>MIN(1,Z21+IF(Z$5=Inputs!$C$18,Z$12,0))</f>
        <v>0.9</v>
      </c>
      <c r="AA46" s="66">
        <f>MIN(1,AA21+IF(AA$5=Inputs!$C$18,AA$12,0))</f>
        <v>0.82</v>
      </c>
      <c r="AB46" s="66">
        <f>MIN(1,AB21+IF(AB$5=Inputs!$C$18,AB$12,0))</f>
        <v>0.93</v>
      </c>
      <c r="AC46" s="66">
        <f>MIN(1,AC21+IF(AC$5=Inputs!$C$18,AC$12,0))</f>
        <v>0.9</v>
      </c>
      <c r="AD46" s="66">
        <f>MIN(1,AD21+IF(AD$5=Inputs!$C$18,AD$12,0))</f>
        <v>0.86</v>
      </c>
      <c r="AE46" s="66">
        <f>MIN(1,AE21+IF(AE$5=Inputs!$C$18,AE$12,0))</f>
        <v>0.93</v>
      </c>
      <c r="AF46" s="66">
        <f>MIN(1,AF21+IF(AF$5=Inputs!$C$18,AF$12,0))</f>
        <v>0.9</v>
      </c>
      <c r="AG46" s="66">
        <f>MIN(1,AG21+IF(AG$5=Inputs!$C$18,AG$12,0))</f>
        <v>0.82</v>
      </c>
      <c r="AH46" s="66">
        <f>MIN(1,AH21+IF(AH$5=Inputs!$C$18,AH$12,0))</f>
        <v>0.93</v>
      </c>
      <c r="AI46" s="66">
        <f>MIN(1,AI21+IF(AI$5=Inputs!$C$18,AI$12,0))</f>
        <v>0.9</v>
      </c>
    </row>
    <row r="47" ht="15.75" customHeight="1">
      <c r="A47" s="51" t="s">
        <v>309</v>
      </c>
      <c r="B47" s="3" t="s">
        <v>100</v>
      </c>
      <c r="C47" s="65">
        <f t="shared" ref="C47:AI47" si="7">(C41+C45)*(1/C46-1)</f>
        <v>0.4840430326</v>
      </c>
      <c r="D47" s="65">
        <f t="shared" si="7"/>
        <v>0.1759225849</v>
      </c>
      <c r="E47" s="65">
        <f t="shared" si="7"/>
        <v>0.2944582074</v>
      </c>
      <c r="F47" s="65">
        <f t="shared" si="7"/>
        <v>0.4840430326</v>
      </c>
      <c r="G47" s="65">
        <f t="shared" si="7"/>
        <v>0.1759225849</v>
      </c>
      <c r="H47" s="65">
        <f t="shared" si="7"/>
        <v>0.2944582074</v>
      </c>
      <c r="I47" s="65">
        <f t="shared" si="7"/>
        <v>0.4840430326</v>
      </c>
      <c r="J47" s="65">
        <f t="shared" si="7"/>
        <v>0.1759225849</v>
      </c>
      <c r="K47" s="65">
        <f t="shared" si="7"/>
        <v>0.2944582074</v>
      </c>
      <c r="L47" s="65">
        <f t="shared" si="7"/>
        <v>0.4840430326</v>
      </c>
      <c r="M47" s="65">
        <f t="shared" si="7"/>
        <v>0.1759225849</v>
      </c>
      <c r="N47" s="65">
        <f t="shared" si="7"/>
        <v>0.2944582074</v>
      </c>
      <c r="O47" s="65">
        <f t="shared" si="7"/>
        <v>0.4840430326</v>
      </c>
      <c r="P47" s="65">
        <f t="shared" si="7"/>
        <v>0.1759225849</v>
      </c>
      <c r="Q47" s="65">
        <f t="shared" si="7"/>
        <v>0.2944582074</v>
      </c>
      <c r="R47" s="65">
        <f t="shared" si="7"/>
        <v>0.4840430326</v>
      </c>
      <c r="S47" s="65">
        <f t="shared" si="7"/>
        <v>0.1759225849</v>
      </c>
      <c r="T47" s="65">
        <f t="shared" si="7"/>
        <v>0.2944582074</v>
      </c>
      <c r="U47" s="65">
        <f t="shared" si="7"/>
        <v>0.4879306502</v>
      </c>
      <c r="V47" s="65">
        <f t="shared" si="7"/>
        <v>0.1777200856</v>
      </c>
      <c r="W47" s="65">
        <f t="shared" si="7"/>
        <v>0.2971116607</v>
      </c>
      <c r="X47" s="65">
        <f t="shared" si="7"/>
        <v>0.4840430326</v>
      </c>
      <c r="Y47" s="65">
        <f t="shared" si="7"/>
        <v>0.1759225849</v>
      </c>
      <c r="Z47" s="65">
        <f t="shared" si="7"/>
        <v>0.2944582074</v>
      </c>
      <c r="AA47" s="65">
        <f t="shared" si="7"/>
        <v>0.6526991415</v>
      </c>
      <c r="AB47" s="65">
        <f t="shared" si="7"/>
        <v>0.1759225849</v>
      </c>
      <c r="AC47" s="65">
        <f t="shared" si="7"/>
        <v>0.2944582074</v>
      </c>
      <c r="AD47" s="65">
        <f t="shared" si="7"/>
        <v>0.4879306502</v>
      </c>
      <c r="AE47" s="65">
        <f t="shared" si="7"/>
        <v>0.1777200856</v>
      </c>
      <c r="AF47" s="65">
        <f t="shared" si="7"/>
        <v>0.2971116607</v>
      </c>
      <c r="AG47" s="65">
        <f t="shared" si="7"/>
        <v>0.6526991415</v>
      </c>
      <c r="AH47" s="65">
        <f t="shared" si="7"/>
        <v>0.1759225849</v>
      </c>
      <c r="AI47" s="65">
        <f t="shared" si="7"/>
        <v>0.2944582074</v>
      </c>
    </row>
    <row r="48" ht="15.75" customHeight="1">
      <c r="A48" s="51" t="s">
        <v>310</v>
      </c>
      <c r="B48" s="3" t="s">
        <v>100</v>
      </c>
      <c r="C48" s="65">
        <f>(C22/Inputs!$B$12+C23)/(Inputs!$B$10*C$9)</f>
        <v>0.36</v>
      </c>
      <c r="D48" s="65">
        <f>(D22/Inputs!$B$12+D23)/(Inputs!$B$10*D$9)</f>
        <v>0.3933333333</v>
      </c>
      <c r="E48" s="65">
        <f>(E22/Inputs!$B$12+E23)/(Inputs!$B$10*E$9)</f>
        <v>0.3266666667</v>
      </c>
      <c r="F48" s="65">
        <f>(F22/Inputs!$B$12+F23)/(Inputs!$B$10*F$9)</f>
        <v>0.36</v>
      </c>
      <c r="G48" s="65">
        <f>(G22/Inputs!$B$12+G23)/(Inputs!$B$10*G$9)</f>
        <v>0.3933333333</v>
      </c>
      <c r="H48" s="65">
        <f>(H22/Inputs!$B$12+H23)/(Inputs!$B$10*H$9)</f>
        <v>0.3266666667</v>
      </c>
      <c r="I48" s="65">
        <f>(I22/Inputs!$B$12+I23)/(Inputs!$B$10*I$9)</f>
        <v>0.36</v>
      </c>
      <c r="J48" s="65">
        <f>(J22/Inputs!$B$12+J23)/(Inputs!$B$10*J$9)</f>
        <v>0.3933333333</v>
      </c>
      <c r="K48" s="65">
        <f>(K22/Inputs!$B$12+K23)/(Inputs!$B$10*K$9)</f>
        <v>0.3266666667</v>
      </c>
      <c r="L48" s="65">
        <f>(L22/Inputs!$B$12+L23)/(Inputs!$B$10*L$9)</f>
        <v>0.36</v>
      </c>
      <c r="M48" s="65">
        <f>(M22/Inputs!$B$12+M23)/(Inputs!$B$10*M$9)</f>
        <v>0.3933333333</v>
      </c>
      <c r="N48" s="65">
        <f>(N22/Inputs!$B$12+N23)/(Inputs!$B$10*N$9)</f>
        <v>0.3266666667</v>
      </c>
      <c r="O48" s="65">
        <f>(O22/Inputs!$B$12+O23)/(Inputs!$B$10*O$9)</f>
        <v>0.4</v>
      </c>
      <c r="P48" s="65">
        <f>(P22/Inputs!$B$12+P23)/(Inputs!$B$10*P$9)</f>
        <v>0.437037037</v>
      </c>
      <c r="Q48" s="65">
        <f>(Q22/Inputs!$B$12+Q23)/(Inputs!$B$10*Q$9)</f>
        <v>0.362962963</v>
      </c>
      <c r="R48" s="65">
        <f>(R22/Inputs!$B$12+R23)/(Inputs!$B$10*R$9)</f>
        <v>0.3272727273</v>
      </c>
      <c r="S48" s="65">
        <f>(S22/Inputs!$B$12+S23)/(Inputs!$B$10*S$9)</f>
        <v>0.3575757576</v>
      </c>
      <c r="T48" s="65">
        <f>(T22/Inputs!$B$12+T23)/(Inputs!$B$10*T$9)</f>
        <v>0.296969697</v>
      </c>
      <c r="U48" s="65">
        <f>(U22/Inputs!$B$12+U23)/(Inputs!$B$10*U$9)</f>
        <v>0.36</v>
      </c>
      <c r="V48" s="65">
        <f>(V22/Inputs!$B$12+V23)/(Inputs!$B$10*V$9)</f>
        <v>0.3933333333</v>
      </c>
      <c r="W48" s="65">
        <f>(W22/Inputs!$B$12+W23)/(Inputs!$B$10*W$9)</f>
        <v>0.3266666667</v>
      </c>
      <c r="X48" s="65">
        <f>(X22/Inputs!$B$12+X23)/(Inputs!$B$10*X$9)</f>
        <v>0.36</v>
      </c>
      <c r="Y48" s="65">
        <f>(Y22/Inputs!$B$12+Y23)/(Inputs!$B$10*Y$9)</f>
        <v>0.3933333333</v>
      </c>
      <c r="Z48" s="65">
        <f>(Z22/Inputs!$B$12+Z23)/(Inputs!$B$10*Z$9)</f>
        <v>0.3266666667</v>
      </c>
      <c r="AA48" s="65">
        <f>(AA22/Inputs!$B$12+AA23)/(Inputs!$B$10*AA$9)</f>
        <v>0.36</v>
      </c>
      <c r="AB48" s="65">
        <f>(AB22/Inputs!$B$12+AB23)/(Inputs!$B$10*AB$9)</f>
        <v>0.3933333333</v>
      </c>
      <c r="AC48" s="65">
        <f>(AC22/Inputs!$B$12+AC23)/(Inputs!$B$10*AC$9)</f>
        <v>0.3266666667</v>
      </c>
      <c r="AD48" s="65">
        <f>(AD22/Inputs!$B$12+AD23)/(Inputs!$B$10*AD$9)</f>
        <v>0.36</v>
      </c>
      <c r="AE48" s="65">
        <f>(AE22/Inputs!$B$12+AE23)/(Inputs!$B$10*AE$9)</f>
        <v>0.3933333333</v>
      </c>
      <c r="AF48" s="65">
        <f>(AF22/Inputs!$B$12+AF23)/(Inputs!$B$10*AF$9)</f>
        <v>0.3266666667</v>
      </c>
      <c r="AG48" s="65">
        <f>(AG22/Inputs!$B$12+AG23)/(Inputs!$B$10*AG$9)</f>
        <v>0.4</v>
      </c>
      <c r="AH48" s="65">
        <f>(AH22/Inputs!$B$12+AH23)/(Inputs!$B$10*AH$9)</f>
        <v>0.437037037</v>
      </c>
      <c r="AI48" s="65">
        <f>(AI22/Inputs!$B$12+AI23)/(Inputs!$B$10*AI$9)</f>
        <v>0.362962963</v>
      </c>
    </row>
    <row r="49" ht="15.75" customHeight="1">
      <c r="A49" s="51" t="s">
        <v>311</v>
      </c>
      <c r="B49" s="3" t="s">
        <v>100</v>
      </c>
      <c r="C49" s="65">
        <f t="shared" ref="C49:AI49" si="8">C41+C45+C47+C48</f>
        <v>3.817450233</v>
      </c>
      <c r="D49" s="65">
        <f t="shared" si="8"/>
        <v>2.906513118</v>
      </c>
      <c r="E49" s="65">
        <f t="shared" si="8"/>
        <v>3.271248741</v>
      </c>
      <c r="F49" s="65">
        <f t="shared" si="8"/>
        <v>3.817450233</v>
      </c>
      <c r="G49" s="65">
        <f t="shared" si="8"/>
        <v>2.906513118</v>
      </c>
      <c r="H49" s="65">
        <f t="shared" si="8"/>
        <v>3.271248741</v>
      </c>
      <c r="I49" s="65">
        <f t="shared" si="8"/>
        <v>3.817450233</v>
      </c>
      <c r="J49" s="65">
        <f t="shared" si="8"/>
        <v>2.906513118</v>
      </c>
      <c r="K49" s="65">
        <f t="shared" si="8"/>
        <v>3.271248741</v>
      </c>
      <c r="L49" s="65">
        <f t="shared" si="8"/>
        <v>3.817450233</v>
      </c>
      <c r="M49" s="65">
        <f t="shared" si="8"/>
        <v>2.906513118</v>
      </c>
      <c r="N49" s="65">
        <f t="shared" si="8"/>
        <v>3.271248741</v>
      </c>
      <c r="O49" s="65">
        <f t="shared" si="8"/>
        <v>3.857450233</v>
      </c>
      <c r="P49" s="65">
        <f t="shared" si="8"/>
        <v>2.950216822</v>
      </c>
      <c r="Q49" s="65">
        <f t="shared" si="8"/>
        <v>3.307545037</v>
      </c>
      <c r="R49" s="65">
        <f t="shared" si="8"/>
        <v>3.78472296</v>
      </c>
      <c r="S49" s="65">
        <f t="shared" si="8"/>
        <v>2.870755543</v>
      </c>
      <c r="T49" s="65">
        <f t="shared" si="8"/>
        <v>3.241551771</v>
      </c>
      <c r="U49" s="65">
        <f t="shared" si="8"/>
        <v>3.84521893</v>
      </c>
      <c r="V49" s="65">
        <f t="shared" si="8"/>
        <v>2.932191699</v>
      </c>
      <c r="W49" s="65">
        <f t="shared" si="8"/>
        <v>3.297783274</v>
      </c>
      <c r="X49" s="65">
        <f t="shared" si="8"/>
        <v>3.817450233</v>
      </c>
      <c r="Y49" s="65">
        <f t="shared" si="8"/>
        <v>2.906513118</v>
      </c>
      <c r="Z49" s="65">
        <f t="shared" si="8"/>
        <v>3.271248741</v>
      </c>
      <c r="AA49" s="65">
        <f t="shared" si="8"/>
        <v>3.986106341</v>
      </c>
      <c r="AB49" s="65">
        <f t="shared" si="8"/>
        <v>2.906513118</v>
      </c>
      <c r="AC49" s="65">
        <f t="shared" si="8"/>
        <v>3.271248741</v>
      </c>
      <c r="AD49" s="65">
        <f t="shared" si="8"/>
        <v>3.84521893</v>
      </c>
      <c r="AE49" s="65">
        <f t="shared" si="8"/>
        <v>2.932191699</v>
      </c>
      <c r="AF49" s="65">
        <f t="shared" si="8"/>
        <v>3.297783274</v>
      </c>
      <c r="AG49" s="65">
        <f t="shared" si="8"/>
        <v>4.026106341</v>
      </c>
      <c r="AH49" s="65">
        <f t="shared" si="8"/>
        <v>2.950216822</v>
      </c>
      <c r="AI49" s="65">
        <f t="shared" si="8"/>
        <v>3.307545037</v>
      </c>
    </row>
    <row r="50" ht="15.75" customHeight="1">
      <c r="A50" s="51" t="s">
        <v>195</v>
      </c>
      <c r="B50" s="3" t="s">
        <v>100</v>
      </c>
      <c r="C50" s="65">
        <f t="shared" ref="C50:AI50" si="9">C49*C24</f>
        <v>0.3435705209</v>
      </c>
      <c r="D50" s="65">
        <f t="shared" si="9"/>
        <v>0.2325210495</v>
      </c>
      <c r="E50" s="65">
        <f t="shared" si="9"/>
        <v>0.2944123867</v>
      </c>
      <c r="F50" s="65">
        <f t="shared" si="9"/>
        <v>0.3435705209</v>
      </c>
      <c r="G50" s="65">
        <f t="shared" si="9"/>
        <v>0.2325210495</v>
      </c>
      <c r="H50" s="65">
        <f t="shared" si="9"/>
        <v>0.2944123867</v>
      </c>
      <c r="I50" s="65">
        <f t="shared" si="9"/>
        <v>0.3435705209</v>
      </c>
      <c r="J50" s="65">
        <f t="shared" si="9"/>
        <v>0.2325210495</v>
      </c>
      <c r="K50" s="65">
        <f t="shared" si="9"/>
        <v>0.2944123867</v>
      </c>
      <c r="L50" s="65">
        <f t="shared" si="9"/>
        <v>0.3435705209</v>
      </c>
      <c r="M50" s="65">
        <f t="shared" si="9"/>
        <v>0.2325210495</v>
      </c>
      <c r="N50" s="65">
        <f t="shared" si="9"/>
        <v>0.2944123867</v>
      </c>
      <c r="O50" s="65">
        <f t="shared" si="9"/>
        <v>0.3471705209</v>
      </c>
      <c r="P50" s="65">
        <f t="shared" si="9"/>
        <v>0.2360173458</v>
      </c>
      <c r="Q50" s="65">
        <f t="shared" si="9"/>
        <v>0.2976790533</v>
      </c>
      <c r="R50" s="65">
        <f t="shared" si="9"/>
        <v>0.3406250664</v>
      </c>
      <c r="S50" s="65">
        <f t="shared" si="9"/>
        <v>0.2296604434</v>
      </c>
      <c r="T50" s="65">
        <f t="shared" si="9"/>
        <v>0.2917396594</v>
      </c>
      <c r="U50" s="65">
        <f t="shared" si="9"/>
        <v>0.3460697037</v>
      </c>
      <c r="V50" s="65">
        <f t="shared" si="9"/>
        <v>0.2345753359</v>
      </c>
      <c r="W50" s="65">
        <f t="shared" si="9"/>
        <v>0.2968004947</v>
      </c>
      <c r="X50" s="65">
        <f t="shared" si="9"/>
        <v>0.3435705209</v>
      </c>
      <c r="Y50" s="65">
        <f t="shared" si="9"/>
        <v>0.2325210495</v>
      </c>
      <c r="Z50" s="65">
        <f t="shared" si="9"/>
        <v>0.2944123867</v>
      </c>
      <c r="AA50" s="65">
        <f t="shared" si="9"/>
        <v>0.3587495707</v>
      </c>
      <c r="AB50" s="65">
        <f t="shared" si="9"/>
        <v>0.2325210495</v>
      </c>
      <c r="AC50" s="65">
        <f t="shared" si="9"/>
        <v>0.2944123867</v>
      </c>
      <c r="AD50" s="65">
        <f t="shared" si="9"/>
        <v>0.3460697037</v>
      </c>
      <c r="AE50" s="65">
        <f t="shared" si="9"/>
        <v>0.2345753359</v>
      </c>
      <c r="AF50" s="65">
        <f t="shared" si="9"/>
        <v>0.2968004947</v>
      </c>
      <c r="AG50" s="65">
        <f t="shared" si="9"/>
        <v>0.3623495707</v>
      </c>
      <c r="AH50" s="65">
        <f t="shared" si="9"/>
        <v>0.2360173458</v>
      </c>
      <c r="AI50" s="65">
        <f t="shared" si="9"/>
        <v>0.2976790533</v>
      </c>
    </row>
    <row r="51" ht="15.75" customHeight="1">
      <c r="A51" s="51" t="s">
        <v>312</v>
      </c>
      <c r="B51" s="3" t="s">
        <v>100</v>
      </c>
      <c r="C51" s="65">
        <f t="shared" ref="C51:AI51" si="10">C49+C50</f>
        <v>4.161020753</v>
      </c>
      <c r="D51" s="65">
        <f t="shared" si="10"/>
        <v>3.139034168</v>
      </c>
      <c r="E51" s="65">
        <f t="shared" si="10"/>
        <v>3.565661127</v>
      </c>
      <c r="F51" s="65">
        <f t="shared" si="10"/>
        <v>4.161020753</v>
      </c>
      <c r="G51" s="65">
        <f t="shared" si="10"/>
        <v>3.139034168</v>
      </c>
      <c r="H51" s="65">
        <f t="shared" si="10"/>
        <v>3.565661127</v>
      </c>
      <c r="I51" s="65">
        <f t="shared" si="10"/>
        <v>4.161020753</v>
      </c>
      <c r="J51" s="65">
        <f t="shared" si="10"/>
        <v>3.139034168</v>
      </c>
      <c r="K51" s="65">
        <f t="shared" si="10"/>
        <v>3.565661127</v>
      </c>
      <c r="L51" s="65">
        <f t="shared" si="10"/>
        <v>4.161020753</v>
      </c>
      <c r="M51" s="65">
        <f t="shared" si="10"/>
        <v>3.139034168</v>
      </c>
      <c r="N51" s="65">
        <f t="shared" si="10"/>
        <v>3.565661127</v>
      </c>
      <c r="O51" s="65">
        <f t="shared" si="10"/>
        <v>4.204620753</v>
      </c>
      <c r="P51" s="65">
        <f t="shared" si="10"/>
        <v>3.186234168</v>
      </c>
      <c r="Q51" s="65">
        <f t="shared" si="10"/>
        <v>3.60522409</v>
      </c>
      <c r="R51" s="65">
        <f t="shared" si="10"/>
        <v>4.125348026</v>
      </c>
      <c r="S51" s="65">
        <f t="shared" si="10"/>
        <v>3.100415986</v>
      </c>
      <c r="T51" s="65">
        <f t="shared" si="10"/>
        <v>3.53329143</v>
      </c>
      <c r="U51" s="65">
        <f t="shared" si="10"/>
        <v>4.191288634</v>
      </c>
      <c r="V51" s="65">
        <f t="shared" si="10"/>
        <v>3.166767035</v>
      </c>
      <c r="W51" s="65">
        <f t="shared" si="10"/>
        <v>3.594583769</v>
      </c>
      <c r="X51" s="65">
        <f t="shared" si="10"/>
        <v>4.161020753</v>
      </c>
      <c r="Y51" s="65">
        <f t="shared" si="10"/>
        <v>3.139034168</v>
      </c>
      <c r="Z51" s="65">
        <f t="shared" si="10"/>
        <v>3.565661127</v>
      </c>
      <c r="AA51" s="65">
        <f t="shared" si="10"/>
        <v>4.344855912</v>
      </c>
      <c r="AB51" s="65">
        <f t="shared" si="10"/>
        <v>3.139034168</v>
      </c>
      <c r="AC51" s="65">
        <f t="shared" si="10"/>
        <v>3.565661127</v>
      </c>
      <c r="AD51" s="65">
        <f t="shared" si="10"/>
        <v>4.191288634</v>
      </c>
      <c r="AE51" s="65">
        <f t="shared" si="10"/>
        <v>3.166767035</v>
      </c>
      <c r="AF51" s="65">
        <f t="shared" si="10"/>
        <v>3.594583769</v>
      </c>
      <c r="AG51" s="65">
        <f t="shared" si="10"/>
        <v>4.388455912</v>
      </c>
      <c r="AH51" s="65">
        <f t="shared" si="10"/>
        <v>3.186234168</v>
      </c>
      <c r="AI51" s="65">
        <f t="shared" si="10"/>
        <v>3.60522409</v>
      </c>
    </row>
    <row r="52" ht="15.75" customHeight="1">
      <c r="A52" s="51" t="s">
        <v>313</v>
      </c>
      <c r="B52" s="3" t="s">
        <v>100</v>
      </c>
      <c r="C52" s="65">
        <f t="shared" ref="C52:AI52" si="11">-C35*C51*MIN(1,C36*C$11)</f>
        <v>-0.1456357264</v>
      </c>
      <c r="D52" s="65">
        <f t="shared" si="11"/>
        <v>0</v>
      </c>
      <c r="E52" s="65">
        <f t="shared" si="11"/>
        <v>0</v>
      </c>
      <c r="F52" s="65">
        <f t="shared" si="11"/>
        <v>-0.1456357264</v>
      </c>
      <c r="G52" s="65">
        <f t="shared" si="11"/>
        <v>0</v>
      </c>
      <c r="H52" s="65">
        <f t="shared" si="11"/>
        <v>0</v>
      </c>
      <c r="I52" s="65">
        <f t="shared" si="11"/>
        <v>-0.1456357264</v>
      </c>
      <c r="J52" s="65">
        <f t="shared" si="11"/>
        <v>0</v>
      </c>
      <c r="K52" s="65">
        <f t="shared" si="11"/>
        <v>0</v>
      </c>
      <c r="L52" s="65">
        <f t="shared" si="11"/>
        <v>-0.1456357264</v>
      </c>
      <c r="M52" s="65">
        <f t="shared" si="11"/>
        <v>0</v>
      </c>
      <c r="N52" s="65">
        <f t="shared" si="11"/>
        <v>0</v>
      </c>
      <c r="O52" s="65">
        <f t="shared" si="11"/>
        <v>-0.1471617264</v>
      </c>
      <c r="P52" s="65">
        <f t="shared" si="11"/>
        <v>0</v>
      </c>
      <c r="Q52" s="65">
        <f t="shared" si="11"/>
        <v>0</v>
      </c>
      <c r="R52" s="65">
        <f t="shared" si="11"/>
        <v>-0.1443871809</v>
      </c>
      <c r="S52" s="65">
        <f t="shared" si="11"/>
        <v>0</v>
      </c>
      <c r="T52" s="65">
        <f t="shared" si="11"/>
        <v>0</v>
      </c>
      <c r="U52" s="65">
        <f t="shared" si="11"/>
        <v>-0.1466951022</v>
      </c>
      <c r="V52" s="65">
        <f t="shared" si="11"/>
        <v>0</v>
      </c>
      <c r="W52" s="65">
        <f t="shared" si="11"/>
        <v>0</v>
      </c>
      <c r="X52" s="65">
        <f t="shared" si="11"/>
        <v>0</v>
      </c>
      <c r="Y52" s="65">
        <f t="shared" si="11"/>
        <v>0</v>
      </c>
      <c r="Z52" s="65">
        <f t="shared" si="11"/>
        <v>0</v>
      </c>
      <c r="AA52" s="65">
        <f t="shared" si="11"/>
        <v>-0.1520699569</v>
      </c>
      <c r="AB52" s="65">
        <f t="shared" si="11"/>
        <v>0</v>
      </c>
      <c r="AC52" s="65">
        <f t="shared" si="11"/>
        <v>0</v>
      </c>
      <c r="AD52" s="65">
        <f t="shared" si="11"/>
        <v>-0.1466951022</v>
      </c>
      <c r="AE52" s="65">
        <f t="shared" si="11"/>
        <v>0</v>
      </c>
      <c r="AF52" s="65">
        <f t="shared" si="11"/>
        <v>0</v>
      </c>
      <c r="AG52" s="65">
        <f t="shared" si="11"/>
        <v>0</v>
      </c>
      <c r="AH52" s="65">
        <f t="shared" si="11"/>
        <v>0</v>
      </c>
      <c r="AI52" s="65">
        <f t="shared" si="11"/>
        <v>0</v>
      </c>
    </row>
    <row r="53" ht="15.75" customHeight="1">
      <c r="A53" s="51" t="s">
        <v>314</v>
      </c>
      <c r="B53" s="3" t="s">
        <v>100</v>
      </c>
      <c r="C53" s="65">
        <f t="shared" ref="C53:AI53" si="12">C51+C52</f>
        <v>4.015385027</v>
      </c>
      <c r="D53" s="65">
        <f t="shared" si="12"/>
        <v>3.139034168</v>
      </c>
      <c r="E53" s="65">
        <f t="shared" si="12"/>
        <v>3.565661127</v>
      </c>
      <c r="F53" s="65">
        <f t="shared" si="12"/>
        <v>4.015385027</v>
      </c>
      <c r="G53" s="65">
        <f t="shared" si="12"/>
        <v>3.139034168</v>
      </c>
      <c r="H53" s="65">
        <f t="shared" si="12"/>
        <v>3.565661127</v>
      </c>
      <c r="I53" s="65">
        <f t="shared" si="12"/>
        <v>4.015385027</v>
      </c>
      <c r="J53" s="65">
        <f t="shared" si="12"/>
        <v>3.139034168</v>
      </c>
      <c r="K53" s="65">
        <f t="shared" si="12"/>
        <v>3.565661127</v>
      </c>
      <c r="L53" s="65">
        <f t="shared" si="12"/>
        <v>4.015385027</v>
      </c>
      <c r="M53" s="65">
        <f t="shared" si="12"/>
        <v>3.139034168</v>
      </c>
      <c r="N53" s="65">
        <f t="shared" si="12"/>
        <v>3.565661127</v>
      </c>
      <c r="O53" s="65">
        <f t="shared" si="12"/>
        <v>4.057459027</v>
      </c>
      <c r="P53" s="65">
        <f t="shared" si="12"/>
        <v>3.186234168</v>
      </c>
      <c r="Q53" s="65">
        <f t="shared" si="12"/>
        <v>3.60522409</v>
      </c>
      <c r="R53" s="65">
        <f t="shared" si="12"/>
        <v>3.980960845</v>
      </c>
      <c r="S53" s="65">
        <f t="shared" si="12"/>
        <v>3.100415986</v>
      </c>
      <c r="T53" s="65">
        <f t="shared" si="12"/>
        <v>3.53329143</v>
      </c>
      <c r="U53" s="65">
        <f t="shared" si="12"/>
        <v>4.044593532</v>
      </c>
      <c r="V53" s="65">
        <f t="shared" si="12"/>
        <v>3.166767035</v>
      </c>
      <c r="W53" s="65">
        <f t="shared" si="12"/>
        <v>3.594583769</v>
      </c>
      <c r="X53" s="65">
        <f t="shared" si="12"/>
        <v>4.161020753</v>
      </c>
      <c r="Y53" s="65">
        <f t="shared" si="12"/>
        <v>3.139034168</v>
      </c>
      <c r="Z53" s="65">
        <f t="shared" si="12"/>
        <v>3.565661127</v>
      </c>
      <c r="AA53" s="65">
        <f t="shared" si="12"/>
        <v>4.192785955</v>
      </c>
      <c r="AB53" s="65">
        <f t="shared" si="12"/>
        <v>3.139034168</v>
      </c>
      <c r="AC53" s="65">
        <f t="shared" si="12"/>
        <v>3.565661127</v>
      </c>
      <c r="AD53" s="65">
        <f t="shared" si="12"/>
        <v>4.044593532</v>
      </c>
      <c r="AE53" s="65">
        <f t="shared" si="12"/>
        <v>3.166767035</v>
      </c>
      <c r="AF53" s="65">
        <f t="shared" si="12"/>
        <v>3.594583769</v>
      </c>
      <c r="AG53" s="65">
        <f t="shared" si="12"/>
        <v>4.388455912</v>
      </c>
      <c r="AH53" s="65">
        <f t="shared" si="12"/>
        <v>3.186234168</v>
      </c>
      <c r="AI53" s="65">
        <f t="shared" si="12"/>
        <v>3.60522409</v>
      </c>
    </row>
    <row r="54" ht="15.75" customHeight="1">
      <c r="A54" s="6" t="s">
        <v>315</v>
      </c>
      <c r="B54" s="67"/>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row>
    <row r="55" ht="15.75" customHeight="1">
      <c r="A55" s="51" t="s">
        <v>316</v>
      </c>
      <c r="B55" s="3" t="s">
        <v>109</v>
      </c>
      <c r="C55" s="68">
        <f t="shared" ref="C55:AI55" si="13">C27*C26+(1-C27)*C25</f>
        <v>0.12</v>
      </c>
      <c r="D55" s="68">
        <f t="shared" si="13"/>
        <v>1.95</v>
      </c>
      <c r="E55" s="68">
        <f t="shared" si="13"/>
        <v>2.25</v>
      </c>
      <c r="F55" s="68">
        <f t="shared" si="13"/>
        <v>0.12</v>
      </c>
      <c r="G55" s="68">
        <f t="shared" si="13"/>
        <v>1.95</v>
      </c>
      <c r="H55" s="68">
        <f t="shared" si="13"/>
        <v>2.25</v>
      </c>
      <c r="I55" s="68">
        <f t="shared" si="13"/>
        <v>0.12</v>
      </c>
      <c r="J55" s="68">
        <f t="shared" si="13"/>
        <v>1.95</v>
      </c>
      <c r="K55" s="68">
        <f t="shared" si="13"/>
        <v>2.25</v>
      </c>
      <c r="L55" s="68">
        <f t="shared" si="13"/>
        <v>0.12</v>
      </c>
      <c r="M55" s="68">
        <f t="shared" si="13"/>
        <v>1.95</v>
      </c>
      <c r="N55" s="68">
        <f t="shared" si="13"/>
        <v>2.25</v>
      </c>
      <c r="O55" s="68">
        <f t="shared" si="13"/>
        <v>0.12</v>
      </c>
      <c r="P55" s="68">
        <f t="shared" si="13"/>
        <v>1.95</v>
      </c>
      <c r="Q55" s="68">
        <f t="shared" si="13"/>
        <v>2.25</v>
      </c>
      <c r="R55" s="68">
        <f t="shared" si="13"/>
        <v>0.12</v>
      </c>
      <c r="S55" s="68">
        <f t="shared" si="13"/>
        <v>1.95</v>
      </c>
      <c r="T55" s="68">
        <f t="shared" si="13"/>
        <v>2.25</v>
      </c>
      <c r="U55" s="68">
        <f t="shared" si="13"/>
        <v>0.12</v>
      </c>
      <c r="V55" s="68">
        <f t="shared" si="13"/>
        <v>1.95</v>
      </c>
      <c r="W55" s="68">
        <f t="shared" si="13"/>
        <v>2.25</v>
      </c>
      <c r="X55" s="68">
        <f t="shared" si="13"/>
        <v>0.12</v>
      </c>
      <c r="Y55" s="68">
        <f t="shared" si="13"/>
        <v>1.95</v>
      </c>
      <c r="Z55" s="68">
        <f t="shared" si="13"/>
        <v>2.25</v>
      </c>
      <c r="AA55" s="68">
        <f t="shared" si="13"/>
        <v>0.12</v>
      </c>
      <c r="AB55" s="68">
        <f t="shared" si="13"/>
        <v>1.95</v>
      </c>
      <c r="AC55" s="68">
        <f t="shared" si="13"/>
        <v>2.25</v>
      </c>
      <c r="AD55" s="68">
        <f t="shared" si="13"/>
        <v>0.12</v>
      </c>
      <c r="AE55" s="68">
        <f t="shared" si="13"/>
        <v>1.95</v>
      </c>
      <c r="AF55" s="68">
        <f t="shared" si="13"/>
        <v>2.25</v>
      </c>
      <c r="AG55" s="68">
        <f t="shared" si="13"/>
        <v>0.12</v>
      </c>
      <c r="AH55" s="68">
        <f t="shared" si="13"/>
        <v>1.95</v>
      </c>
      <c r="AI55" s="68">
        <f t="shared" si="13"/>
        <v>2.25</v>
      </c>
    </row>
    <row r="56" ht="15.75" customHeight="1">
      <c r="A56" s="51" t="s">
        <v>197</v>
      </c>
      <c r="B56" s="3" t="s">
        <v>100</v>
      </c>
      <c r="C56" s="65">
        <f>Inputs!$B$13*C55*C$8</f>
        <v>0.0084</v>
      </c>
      <c r="D56" s="65">
        <f>Inputs!$B$13*D55*D$8</f>
        <v>0.1365</v>
      </c>
      <c r="E56" s="65">
        <f>Inputs!$B$13*E55*E$8</f>
        <v>0.1575</v>
      </c>
      <c r="F56" s="65">
        <f>Inputs!$B$13*F55*F$8</f>
        <v>0.0084</v>
      </c>
      <c r="G56" s="65">
        <f>Inputs!$B$13*G55*G$8</f>
        <v>0.1365</v>
      </c>
      <c r="H56" s="65">
        <f>Inputs!$B$13*H55*H$8</f>
        <v>0.1575</v>
      </c>
      <c r="I56" s="65">
        <f>Inputs!$B$13*I55*I$8</f>
        <v>0.0084</v>
      </c>
      <c r="J56" s="65">
        <f>Inputs!$B$13*J55*J$8</f>
        <v>0.1365</v>
      </c>
      <c r="K56" s="65">
        <f>Inputs!$B$13*K55*K$8</f>
        <v>0.1575</v>
      </c>
      <c r="L56" s="65">
        <f>Inputs!$B$13*L55*L$8</f>
        <v>0.021</v>
      </c>
      <c r="M56" s="65">
        <f>Inputs!$B$13*M55*M$8</f>
        <v>0.34125</v>
      </c>
      <c r="N56" s="65">
        <f>Inputs!$B$13*N55*N$8</f>
        <v>0.39375</v>
      </c>
      <c r="O56" s="65">
        <f>Inputs!$B$13*O55*O$8</f>
        <v>0.0084</v>
      </c>
      <c r="P56" s="65">
        <f>Inputs!$B$13*P55*P$8</f>
        <v>0.1365</v>
      </c>
      <c r="Q56" s="65">
        <f>Inputs!$B$13*Q55*Q$8</f>
        <v>0.1575</v>
      </c>
      <c r="R56" s="65">
        <f>Inputs!$B$13*R55*R$8</f>
        <v>0.0084</v>
      </c>
      <c r="S56" s="65">
        <f>Inputs!$B$13*S55*S$8</f>
        <v>0.1365</v>
      </c>
      <c r="T56" s="65">
        <f>Inputs!$B$13*T55*T$8</f>
        <v>0.1575</v>
      </c>
      <c r="U56" s="65">
        <f>Inputs!$B$13*U55*U$8</f>
        <v>0.0084</v>
      </c>
      <c r="V56" s="65">
        <f>Inputs!$B$13*V55*V$8</f>
        <v>0.1365</v>
      </c>
      <c r="W56" s="65">
        <f>Inputs!$B$13*W55*W$8</f>
        <v>0.1575</v>
      </c>
      <c r="X56" s="65">
        <f>Inputs!$B$13*X55*X$8</f>
        <v>0.0084</v>
      </c>
      <c r="Y56" s="65">
        <f>Inputs!$B$13*Y55*Y$8</f>
        <v>0.1365</v>
      </c>
      <c r="Z56" s="65">
        <f>Inputs!$B$13*Z55*Z$8</f>
        <v>0.1575</v>
      </c>
      <c r="AA56" s="65">
        <f>Inputs!$B$13*AA55*AA$8</f>
        <v>0.0084</v>
      </c>
      <c r="AB56" s="65">
        <f>Inputs!$B$13*AB55*AB$8</f>
        <v>0.1365</v>
      </c>
      <c r="AC56" s="65">
        <f>Inputs!$B$13*AC55*AC$8</f>
        <v>0.1575</v>
      </c>
      <c r="AD56" s="65">
        <f>Inputs!$B$13*AD55*AD$8</f>
        <v>0.021</v>
      </c>
      <c r="AE56" s="65">
        <f>Inputs!$B$13*AE55*AE$8</f>
        <v>0.34125</v>
      </c>
      <c r="AF56" s="65">
        <f>Inputs!$B$13*AF55*AF$8</f>
        <v>0.39375</v>
      </c>
      <c r="AG56" s="65">
        <f>Inputs!$B$13*AG55*AG$8</f>
        <v>0.0084</v>
      </c>
      <c r="AH56" s="65">
        <f>Inputs!$B$13*AH55*AH$8</f>
        <v>0.1365</v>
      </c>
      <c r="AI56" s="65">
        <f>Inputs!$B$13*AI55*AI$8</f>
        <v>0.1575</v>
      </c>
    </row>
    <row r="57" ht="15.75" customHeight="1">
      <c r="A57" s="51" t="s">
        <v>121</v>
      </c>
      <c r="B57" s="3" t="s">
        <v>100</v>
      </c>
      <c r="C57" s="65">
        <f t="shared" ref="C57:AI57" si="14">C30*C53</f>
        <v>0.004015385027</v>
      </c>
      <c r="D57" s="65">
        <f t="shared" si="14"/>
        <v>0.009417102503</v>
      </c>
      <c r="E57" s="65">
        <f t="shared" si="14"/>
        <v>0.01069698338</v>
      </c>
      <c r="F57" s="65">
        <f t="shared" si="14"/>
        <v>0.004015385027</v>
      </c>
      <c r="G57" s="65">
        <f t="shared" si="14"/>
        <v>0.009417102503</v>
      </c>
      <c r="H57" s="65">
        <f t="shared" si="14"/>
        <v>0.01069698338</v>
      </c>
      <c r="I57" s="65">
        <f t="shared" si="14"/>
        <v>0.004015385027</v>
      </c>
      <c r="J57" s="65">
        <f t="shared" si="14"/>
        <v>0.009417102503</v>
      </c>
      <c r="K57" s="65">
        <f t="shared" si="14"/>
        <v>0.01069698338</v>
      </c>
      <c r="L57" s="65">
        <f t="shared" si="14"/>
        <v>0.004015385027</v>
      </c>
      <c r="M57" s="65">
        <f t="shared" si="14"/>
        <v>0.009417102503</v>
      </c>
      <c r="N57" s="65">
        <f t="shared" si="14"/>
        <v>0.01069698338</v>
      </c>
      <c r="O57" s="65">
        <f t="shared" si="14"/>
        <v>0.004057459027</v>
      </c>
      <c r="P57" s="65">
        <f t="shared" si="14"/>
        <v>0.009558702503</v>
      </c>
      <c r="Q57" s="65">
        <f t="shared" si="14"/>
        <v>0.01081567227</v>
      </c>
      <c r="R57" s="65">
        <f t="shared" si="14"/>
        <v>0.003980960845</v>
      </c>
      <c r="S57" s="65">
        <f t="shared" si="14"/>
        <v>0.009301247958</v>
      </c>
      <c r="T57" s="65">
        <f t="shared" si="14"/>
        <v>0.01059987429</v>
      </c>
      <c r="U57" s="65">
        <f t="shared" si="14"/>
        <v>0.004044593532</v>
      </c>
      <c r="V57" s="65">
        <f t="shared" si="14"/>
        <v>0.009500301105</v>
      </c>
      <c r="W57" s="65">
        <f t="shared" si="14"/>
        <v>0.01078375131</v>
      </c>
      <c r="X57" s="65">
        <f t="shared" si="14"/>
        <v>0.004161020753</v>
      </c>
      <c r="Y57" s="65">
        <f t="shared" si="14"/>
        <v>0.009417102503</v>
      </c>
      <c r="Z57" s="65">
        <f t="shared" si="14"/>
        <v>0.01069698338</v>
      </c>
      <c r="AA57" s="65">
        <f t="shared" si="14"/>
        <v>0.004192785955</v>
      </c>
      <c r="AB57" s="65">
        <f t="shared" si="14"/>
        <v>0.009417102503</v>
      </c>
      <c r="AC57" s="65">
        <f t="shared" si="14"/>
        <v>0.01069698338</v>
      </c>
      <c r="AD57" s="65">
        <f t="shared" si="14"/>
        <v>0.004044593532</v>
      </c>
      <c r="AE57" s="65">
        <f t="shared" si="14"/>
        <v>0.009500301105</v>
      </c>
      <c r="AF57" s="65">
        <f t="shared" si="14"/>
        <v>0.01078375131</v>
      </c>
      <c r="AG57" s="65">
        <f t="shared" si="14"/>
        <v>0.004388455912</v>
      </c>
      <c r="AH57" s="65">
        <f t="shared" si="14"/>
        <v>0.009558702503</v>
      </c>
      <c r="AI57" s="65">
        <f t="shared" si="14"/>
        <v>0.01081567227</v>
      </c>
    </row>
    <row r="58" ht="15.75" customHeight="1">
      <c r="A58" s="51" t="s">
        <v>317</v>
      </c>
      <c r="B58" s="3" t="s">
        <v>100</v>
      </c>
      <c r="C58" s="65">
        <f t="shared" ref="C58:AI58" si="15">C53+C56+C57</f>
        <v>4.027800412</v>
      </c>
      <c r="D58" s="65">
        <f t="shared" si="15"/>
        <v>3.28495127</v>
      </c>
      <c r="E58" s="65">
        <f t="shared" si="15"/>
        <v>3.733858111</v>
      </c>
      <c r="F58" s="65">
        <f t="shared" si="15"/>
        <v>4.027800412</v>
      </c>
      <c r="G58" s="65">
        <f t="shared" si="15"/>
        <v>3.28495127</v>
      </c>
      <c r="H58" s="65">
        <f t="shared" si="15"/>
        <v>3.733858111</v>
      </c>
      <c r="I58" s="65">
        <f t="shared" si="15"/>
        <v>4.027800412</v>
      </c>
      <c r="J58" s="65">
        <f t="shared" si="15"/>
        <v>3.28495127</v>
      </c>
      <c r="K58" s="65">
        <f t="shared" si="15"/>
        <v>3.733858111</v>
      </c>
      <c r="L58" s="65">
        <f t="shared" si="15"/>
        <v>4.040400412</v>
      </c>
      <c r="M58" s="65">
        <f t="shared" si="15"/>
        <v>3.48970127</v>
      </c>
      <c r="N58" s="65">
        <f t="shared" si="15"/>
        <v>3.970108111</v>
      </c>
      <c r="O58" s="65">
        <f t="shared" si="15"/>
        <v>4.069916486</v>
      </c>
      <c r="P58" s="65">
        <f t="shared" si="15"/>
        <v>3.33229287</v>
      </c>
      <c r="Q58" s="65">
        <f t="shared" si="15"/>
        <v>3.773539763</v>
      </c>
      <c r="R58" s="65">
        <f t="shared" si="15"/>
        <v>3.993341806</v>
      </c>
      <c r="S58" s="65">
        <f t="shared" si="15"/>
        <v>3.246217234</v>
      </c>
      <c r="T58" s="65">
        <f t="shared" si="15"/>
        <v>3.701391305</v>
      </c>
      <c r="U58" s="65">
        <f t="shared" si="15"/>
        <v>4.057038125</v>
      </c>
      <c r="V58" s="65">
        <f t="shared" si="15"/>
        <v>3.312767336</v>
      </c>
      <c r="W58" s="65">
        <f t="shared" si="15"/>
        <v>3.76286752</v>
      </c>
      <c r="X58" s="65">
        <f t="shared" si="15"/>
        <v>4.173581774</v>
      </c>
      <c r="Y58" s="65">
        <f t="shared" si="15"/>
        <v>3.28495127</v>
      </c>
      <c r="Z58" s="65">
        <f t="shared" si="15"/>
        <v>3.733858111</v>
      </c>
      <c r="AA58" s="65">
        <f t="shared" si="15"/>
        <v>4.205378741</v>
      </c>
      <c r="AB58" s="65">
        <f t="shared" si="15"/>
        <v>3.28495127</v>
      </c>
      <c r="AC58" s="65">
        <f t="shared" si="15"/>
        <v>3.733858111</v>
      </c>
      <c r="AD58" s="65">
        <f t="shared" si="15"/>
        <v>4.069638125</v>
      </c>
      <c r="AE58" s="65">
        <f t="shared" si="15"/>
        <v>3.517517336</v>
      </c>
      <c r="AF58" s="65">
        <f t="shared" si="15"/>
        <v>3.99911752</v>
      </c>
      <c r="AG58" s="65">
        <f t="shared" si="15"/>
        <v>4.401244368</v>
      </c>
      <c r="AH58" s="65">
        <f t="shared" si="15"/>
        <v>3.33229287</v>
      </c>
      <c r="AI58" s="65">
        <f t="shared" si="15"/>
        <v>3.773539763</v>
      </c>
    </row>
    <row r="59" ht="15.75" customHeight="1">
      <c r="A59" s="51" t="s">
        <v>318</v>
      </c>
      <c r="B59" s="3" t="s">
        <v>29</v>
      </c>
      <c r="C59" s="66">
        <f t="shared" ref="C59:AI59" si="16">C14*MAX(0,C31+C$7)</f>
        <v>0</v>
      </c>
      <c r="D59" s="66">
        <f t="shared" si="16"/>
        <v>0.1</v>
      </c>
      <c r="E59" s="66">
        <f t="shared" si="16"/>
        <v>0.05</v>
      </c>
      <c r="F59" s="66">
        <f t="shared" si="16"/>
        <v>0</v>
      </c>
      <c r="G59" s="66">
        <f t="shared" si="16"/>
        <v>0.2</v>
      </c>
      <c r="H59" s="66">
        <f t="shared" si="16"/>
        <v>0.15</v>
      </c>
      <c r="I59" s="66">
        <f t="shared" si="16"/>
        <v>0</v>
      </c>
      <c r="J59" s="66">
        <f t="shared" si="16"/>
        <v>0</v>
      </c>
      <c r="K59" s="66">
        <f t="shared" si="16"/>
        <v>0</v>
      </c>
      <c r="L59" s="66">
        <f t="shared" si="16"/>
        <v>0</v>
      </c>
      <c r="M59" s="66">
        <f t="shared" si="16"/>
        <v>0.1</v>
      </c>
      <c r="N59" s="66">
        <f t="shared" si="16"/>
        <v>0.05</v>
      </c>
      <c r="O59" s="66">
        <f t="shared" si="16"/>
        <v>0</v>
      </c>
      <c r="P59" s="66">
        <f t="shared" si="16"/>
        <v>0.1</v>
      </c>
      <c r="Q59" s="66">
        <f t="shared" si="16"/>
        <v>0.05</v>
      </c>
      <c r="R59" s="66">
        <f t="shared" si="16"/>
        <v>0</v>
      </c>
      <c r="S59" s="66">
        <f t="shared" si="16"/>
        <v>0.1</v>
      </c>
      <c r="T59" s="66">
        <f t="shared" si="16"/>
        <v>0.05</v>
      </c>
      <c r="U59" s="66">
        <f t="shared" si="16"/>
        <v>0</v>
      </c>
      <c r="V59" s="66">
        <f t="shared" si="16"/>
        <v>0.1</v>
      </c>
      <c r="W59" s="66">
        <f t="shared" si="16"/>
        <v>0.05</v>
      </c>
      <c r="X59" s="66">
        <f t="shared" si="16"/>
        <v>0</v>
      </c>
      <c r="Y59" s="66">
        <f t="shared" si="16"/>
        <v>0.1</v>
      </c>
      <c r="Z59" s="66">
        <f t="shared" si="16"/>
        <v>0.05</v>
      </c>
      <c r="AA59" s="66">
        <f t="shared" si="16"/>
        <v>0</v>
      </c>
      <c r="AB59" s="66">
        <f t="shared" si="16"/>
        <v>0.1</v>
      </c>
      <c r="AC59" s="66">
        <f t="shared" si="16"/>
        <v>0.05</v>
      </c>
      <c r="AD59" s="66">
        <f t="shared" si="16"/>
        <v>0</v>
      </c>
      <c r="AE59" s="66">
        <f t="shared" si="16"/>
        <v>0.2</v>
      </c>
      <c r="AF59" s="66">
        <f t="shared" si="16"/>
        <v>0.15</v>
      </c>
      <c r="AG59" s="66">
        <f t="shared" si="16"/>
        <v>0</v>
      </c>
      <c r="AH59" s="66">
        <f t="shared" si="16"/>
        <v>0.1</v>
      </c>
      <c r="AI59" s="66">
        <f t="shared" si="16"/>
        <v>0.05</v>
      </c>
    </row>
    <row r="60" ht="15.75" customHeight="1">
      <c r="A60" s="51" t="s">
        <v>319</v>
      </c>
      <c r="B60" s="3" t="s">
        <v>100</v>
      </c>
      <c r="C60" s="65">
        <f t="shared" ref="C60:AI60" si="17">C59*C58</f>
        <v>0</v>
      </c>
      <c r="D60" s="65">
        <f t="shared" si="17"/>
        <v>0.328495127</v>
      </c>
      <c r="E60" s="65">
        <f t="shared" si="17"/>
        <v>0.1866929055</v>
      </c>
      <c r="F60" s="65">
        <f t="shared" si="17"/>
        <v>0</v>
      </c>
      <c r="G60" s="65">
        <f t="shared" si="17"/>
        <v>0.656990254</v>
      </c>
      <c r="H60" s="65">
        <f t="shared" si="17"/>
        <v>0.5600787166</v>
      </c>
      <c r="I60" s="65">
        <f t="shared" si="17"/>
        <v>0</v>
      </c>
      <c r="J60" s="65">
        <f t="shared" si="17"/>
        <v>0</v>
      </c>
      <c r="K60" s="65">
        <f t="shared" si="17"/>
        <v>0</v>
      </c>
      <c r="L60" s="65">
        <f t="shared" si="17"/>
        <v>0</v>
      </c>
      <c r="M60" s="65">
        <f t="shared" si="17"/>
        <v>0.348970127</v>
      </c>
      <c r="N60" s="65">
        <f t="shared" si="17"/>
        <v>0.1985054055</v>
      </c>
      <c r="O60" s="65">
        <f t="shared" si="17"/>
        <v>0</v>
      </c>
      <c r="P60" s="65">
        <f t="shared" si="17"/>
        <v>0.333229287</v>
      </c>
      <c r="Q60" s="65">
        <f t="shared" si="17"/>
        <v>0.1886769881</v>
      </c>
      <c r="R60" s="65">
        <f t="shared" si="17"/>
        <v>0</v>
      </c>
      <c r="S60" s="65">
        <f t="shared" si="17"/>
        <v>0.3246217234</v>
      </c>
      <c r="T60" s="65">
        <f t="shared" si="17"/>
        <v>0.1850695652</v>
      </c>
      <c r="U60" s="65">
        <f t="shared" si="17"/>
        <v>0</v>
      </c>
      <c r="V60" s="65">
        <f t="shared" si="17"/>
        <v>0.3312767336</v>
      </c>
      <c r="W60" s="65">
        <f t="shared" si="17"/>
        <v>0.188143376</v>
      </c>
      <c r="X60" s="65">
        <f t="shared" si="17"/>
        <v>0</v>
      </c>
      <c r="Y60" s="65">
        <f t="shared" si="17"/>
        <v>0.328495127</v>
      </c>
      <c r="Z60" s="65">
        <f t="shared" si="17"/>
        <v>0.1866929055</v>
      </c>
      <c r="AA60" s="65">
        <f t="shared" si="17"/>
        <v>0</v>
      </c>
      <c r="AB60" s="65">
        <f t="shared" si="17"/>
        <v>0.328495127</v>
      </c>
      <c r="AC60" s="65">
        <f t="shared" si="17"/>
        <v>0.1866929055</v>
      </c>
      <c r="AD60" s="65">
        <f t="shared" si="17"/>
        <v>0</v>
      </c>
      <c r="AE60" s="65">
        <f t="shared" si="17"/>
        <v>0.7035034672</v>
      </c>
      <c r="AF60" s="65">
        <f t="shared" si="17"/>
        <v>0.599867628</v>
      </c>
      <c r="AG60" s="65">
        <f t="shared" si="17"/>
        <v>0</v>
      </c>
      <c r="AH60" s="65">
        <f t="shared" si="17"/>
        <v>0.333229287</v>
      </c>
      <c r="AI60" s="65">
        <f t="shared" si="17"/>
        <v>0.1886769881</v>
      </c>
    </row>
    <row r="61" ht="15.75" customHeight="1">
      <c r="A61" s="51" t="s">
        <v>320</v>
      </c>
      <c r="B61" s="3" t="s">
        <v>100</v>
      </c>
      <c r="C61" s="65">
        <f>Inputs!$B$14*C60</f>
        <v>0</v>
      </c>
      <c r="D61" s="65">
        <f>Inputs!$B$14*D60</f>
        <v>0.0328495127</v>
      </c>
      <c r="E61" s="65">
        <f>Inputs!$B$14*E60</f>
        <v>0.01866929055</v>
      </c>
      <c r="F61" s="65">
        <f>Inputs!$B$14*F60</f>
        <v>0</v>
      </c>
      <c r="G61" s="65">
        <f>Inputs!$B$14*G60</f>
        <v>0.0656990254</v>
      </c>
      <c r="H61" s="65">
        <f>Inputs!$B$14*H60</f>
        <v>0.05600787166</v>
      </c>
      <c r="I61" s="65">
        <f>Inputs!$B$14*I60</f>
        <v>0</v>
      </c>
      <c r="J61" s="65">
        <f>Inputs!$B$14*J60</f>
        <v>0</v>
      </c>
      <c r="K61" s="65">
        <f>Inputs!$B$14*K60</f>
        <v>0</v>
      </c>
      <c r="L61" s="65">
        <f>Inputs!$B$14*L60</f>
        <v>0</v>
      </c>
      <c r="M61" s="65">
        <f>Inputs!$B$14*M60</f>
        <v>0.0348970127</v>
      </c>
      <c r="N61" s="65">
        <f>Inputs!$B$14*N60</f>
        <v>0.01985054055</v>
      </c>
      <c r="O61" s="65">
        <f>Inputs!$B$14*O60</f>
        <v>0</v>
      </c>
      <c r="P61" s="65">
        <f>Inputs!$B$14*P60</f>
        <v>0.0333229287</v>
      </c>
      <c r="Q61" s="65">
        <f>Inputs!$B$14*Q60</f>
        <v>0.01886769881</v>
      </c>
      <c r="R61" s="65">
        <f>Inputs!$B$14*R60</f>
        <v>0</v>
      </c>
      <c r="S61" s="65">
        <f>Inputs!$B$14*S60</f>
        <v>0.03246217234</v>
      </c>
      <c r="T61" s="65">
        <f>Inputs!$B$14*T60</f>
        <v>0.01850695652</v>
      </c>
      <c r="U61" s="65">
        <f>Inputs!$B$14*U60</f>
        <v>0</v>
      </c>
      <c r="V61" s="65">
        <f>Inputs!$B$14*V60</f>
        <v>0.03312767336</v>
      </c>
      <c r="W61" s="65">
        <f>Inputs!$B$14*W60</f>
        <v>0.0188143376</v>
      </c>
      <c r="X61" s="65">
        <f>Inputs!$B$14*X60</f>
        <v>0</v>
      </c>
      <c r="Y61" s="65">
        <f>Inputs!$B$14*Y60</f>
        <v>0.0328495127</v>
      </c>
      <c r="Z61" s="65">
        <f>Inputs!$B$14*Z60</f>
        <v>0.01866929055</v>
      </c>
      <c r="AA61" s="65">
        <f>Inputs!$B$14*AA60</f>
        <v>0</v>
      </c>
      <c r="AB61" s="65">
        <f>Inputs!$B$14*AB60</f>
        <v>0.0328495127</v>
      </c>
      <c r="AC61" s="65">
        <f>Inputs!$B$14*AC60</f>
        <v>0.01866929055</v>
      </c>
      <c r="AD61" s="65">
        <f>Inputs!$B$14*AD60</f>
        <v>0</v>
      </c>
      <c r="AE61" s="65">
        <f>Inputs!$B$14*AE60</f>
        <v>0.07035034672</v>
      </c>
      <c r="AF61" s="65">
        <f>Inputs!$B$14*AF60</f>
        <v>0.0599867628</v>
      </c>
      <c r="AG61" s="65">
        <f>Inputs!$B$14*AG60</f>
        <v>0</v>
      </c>
      <c r="AH61" s="65">
        <f>Inputs!$B$14*AH60</f>
        <v>0.0333229287</v>
      </c>
      <c r="AI61" s="65">
        <f>Inputs!$B$14*AI60</f>
        <v>0.01886769881</v>
      </c>
    </row>
    <row r="62" ht="15.75" customHeight="1">
      <c r="A62" s="51" t="s">
        <v>321</v>
      </c>
      <c r="B62" s="3" t="s">
        <v>100</v>
      </c>
      <c r="C62" s="65">
        <f t="shared" ref="C62:AI62" si="18">C14*C32*C58</f>
        <v>0</v>
      </c>
      <c r="D62" s="65">
        <f t="shared" si="18"/>
        <v>0</v>
      </c>
      <c r="E62" s="65">
        <f t="shared" si="18"/>
        <v>0</v>
      </c>
      <c r="F62" s="65">
        <f t="shared" si="18"/>
        <v>0</v>
      </c>
      <c r="G62" s="65">
        <f t="shared" si="18"/>
        <v>0</v>
      </c>
      <c r="H62" s="65">
        <f t="shared" si="18"/>
        <v>0</v>
      </c>
      <c r="I62" s="65">
        <f t="shared" si="18"/>
        <v>0</v>
      </c>
      <c r="J62" s="65">
        <f t="shared" si="18"/>
        <v>0</v>
      </c>
      <c r="K62" s="65">
        <f t="shared" si="18"/>
        <v>0</v>
      </c>
      <c r="L62" s="65">
        <f t="shared" si="18"/>
        <v>0</v>
      </c>
      <c r="M62" s="65">
        <f t="shared" si="18"/>
        <v>0</v>
      </c>
      <c r="N62" s="65">
        <f t="shared" si="18"/>
        <v>0</v>
      </c>
      <c r="O62" s="65">
        <f t="shared" si="18"/>
        <v>0</v>
      </c>
      <c r="P62" s="65">
        <f t="shared" si="18"/>
        <v>0</v>
      </c>
      <c r="Q62" s="65">
        <f t="shared" si="18"/>
        <v>0</v>
      </c>
      <c r="R62" s="65">
        <f t="shared" si="18"/>
        <v>0</v>
      </c>
      <c r="S62" s="65">
        <f t="shared" si="18"/>
        <v>0</v>
      </c>
      <c r="T62" s="65">
        <f t="shared" si="18"/>
        <v>0</v>
      </c>
      <c r="U62" s="65">
        <f t="shared" si="18"/>
        <v>0</v>
      </c>
      <c r="V62" s="65">
        <f t="shared" si="18"/>
        <v>0</v>
      </c>
      <c r="W62" s="65">
        <f t="shared" si="18"/>
        <v>0</v>
      </c>
      <c r="X62" s="65">
        <f t="shared" si="18"/>
        <v>0</v>
      </c>
      <c r="Y62" s="65">
        <f t="shared" si="18"/>
        <v>0</v>
      </c>
      <c r="Z62" s="65">
        <f t="shared" si="18"/>
        <v>0</v>
      </c>
      <c r="AA62" s="65">
        <f t="shared" si="18"/>
        <v>0</v>
      </c>
      <c r="AB62" s="65">
        <f t="shared" si="18"/>
        <v>0</v>
      </c>
      <c r="AC62" s="65">
        <f t="shared" si="18"/>
        <v>0</v>
      </c>
      <c r="AD62" s="65">
        <f t="shared" si="18"/>
        <v>0</v>
      </c>
      <c r="AE62" s="65">
        <f t="shared" si="18"/>
        <v>0</v>
      </c>
      <c r="AF62" s="65">
        <f t="shared" si="18"/>
        <v>0</v>
      </c>
      <c r="AG62" s="65">
        <f t="shared" si="18"/>
        <v>0</v>
      </c>
      <c r="AH62" s="65">
        <f t="shared" si="18"/>
        <v>0</v>
      </c>
      <c r="AI62" s="65">
        <f t="shared" si="18"/>
        <v>0</v>
      </c>
    </row>
    <row r="63" ht="15.75" customHeight="1">
      <c r="A63" s="51" t="s">
        <v>131</v>
      </c>
      <c r="B63" s="3" t="s">
        <v>100</v>
      </c>
      <c r="C63" s="65">
        <f t="shared" ref="C63:AI63" si="19">C14*C33*C58</f>
        <v>0</v>
      </c>
      <c r="D63" s="65">
        <f t="shared" si="19"/>
        <v>0.01313980508</v>
      </c>
      <c r="E63" s="65">
        <f t="shared" si="19"/>
        <v>0.01493543244</v>
      </c>
      <c r="F63" s="65">
        <f t="shared" si="19"/>
        <v>0</v>
      </c>
      <c r="G63" s="65">
        <f t="shared" si="19"/>
        <v>0.01313980508</v>
      </c>
      <c r="H63" s="65">
        <f t="shared" si="19"/>
        <v>0.01493543244</v>
      </c>
      <c r="I63" s="65">
        <f t="shared" si="19"/>
        <v>0</v>
      </c>
      <c r="J63" s="65">
        <f t="shared" si="19"/>
        <v>0.01313980508</v>
      </c>
      <c r="K63" s="65">
        <f t="shared" si="19"/>
        <v>0.01493543244</v>
      </c>
      <c r="L63" s="65">
        <f t="shared" si="19"/>
        <v>0</v>
      </c>
      <c r="M63" s="65">
        <f t="shared" si="19"/>
        <v>0.01395880508</v>
      </c>
      <c r="N63" s="65">
        <f t="shared" si="19"/>
        <v>0.01588043244</v>
      </c>
      <c r="O63" s="65">
        <f t="shared" si="19"/>
        <v>0</v>
      </c>
      <c r="P63" s="65">
        <f t="shared" si="19"/>
        <v>0.01332917148</v>
      </c>
      <c r="Q63" s="65">
        <f t="shared" si="19"/>
        <v>0.01509415905</v>
      </c>
      <c r="R63" s="65">
        <f t="shared" si="19"/>
        <v>0</v>
      </c>
      <c r="S63" s="65">
        <f t="shared" si="19"/>
        <v>0.01298486894</v>
      </c>
      <c r="T63" s="65">
        <f t="shared" si="19"/>
        <v>0.01480556522</v>
      </c>
      <c r="U63" s="65">
        <f t="shared" si="19"/>
        <v>0</v>
      </c>
      <c r="V63" s="65">
        <f t="shared" si="19"/>
        <v>0.01325106934</v>
      </c>
      <c r="W63" s="65">
        <f t="shared" si="19"/>
        <v>0.01505147008</v>
      </c>
      <c r="X63" s="65">
        <f t="shared" si="19"/>
        <v>0</v>
      </c>
      <c r="Y63" s="65">
        <f t="shared" si="19"/>
        <v>0.01313980508</v>
      </c>
      <c r="Z63" s="65">
        <f t="shared" si="19"/>
        <v>0.01493543244</v>
      </c>
      <c r="AA63" s="65">
        <f t="shared" si="19"/>
        <v>0</v>
      </c>
      <c r="AB63" s="65">
        <f t="shared" si="19"/>
        <v>0.01313980508</v>
      </c>
      <c r="AC63" s="65">
        <f t="shared" si="19"/>
        <v>0.01493543244</v>
      </c>
      <c r="AD63" s="65">
        <f t="shared" si="19"/>
        <v>0</v>
      </c>
      <c r="AE63" s="65">
        <f t="shared" si="19"/>
        <v>0.01407006934</v>
      </c>
      <c r="AF63" s="65">
        <f t="shared" si="19"/>
        <v>0.01599647008</v>
      </c>
      <c r="AG63" s="65">
        <f t="shared" si="19"/>
        <v>0</v>
      </c>
      <c r="AH63" s="65">
        <f t="shared" si="19"/>
        <v>0.01332917148</v>
      </c>
      <c r="AI63" s="65">
        <f t="shared" si="19"/>
        <v>0.01509415905</v>
      </c>
    </row>
    <row r="64" ht="15.75" customHeight="1">
      <c r="A64" s="51" t="s">
        <v>132</v>
      </c>
      <c r="B64" s="3" t="s">
        <v>100</v>
      </c>
      <c r="C64" s="65">
        <f>C14*C34*Inputs!$B$13</f>
        <v>0</v>
      </c>
      <c r="D64" s="65">
        <f>D14*D34*Inputs!$B$13</f>
        <v>0.0035</v>
      </c>
      <c r="E64" s="65">
        <f>E14*E34*Inputs!$B$13</f>
        <v>0.0035</v>
      </c>
      <c r="F64" s="65">
        <f>F14*F34*Inputs!$B$13</f>
        <v>0</v>
      </c>
      <c r="G64" s="65">
        <f>G14*G34*Inputs!$B$13</f>
        <v>0.0035</v>
      </c>
      <c r="H64" s="65">
        <f>H14*H34*Inputs!$B$13</f>
        <v>0.0035</v>
      </c>
      <c r="I64" s="65">
        <f>I14*I34*Inputs!$B$13</f>
        <v>0</v>
      </c>
      <c r="J64" s="65">
        <f>J14*J34*Inputs!$B$13</f>
        <v>0.0035</v>
      </c>
      <c r="K64" s="65">
        <f>K14*K34*Inputs!$B$13</f>
        <v>0.0035</v>
      </c>
      <c r="L64" s="65">
        <f>L14*L34*Inputs!$B$13</f>
        <v>0</v>
      </c>
      <c r="M64" s="65">
        <f>M14*M34*Inputs!$B$13</f>
        <v>0.0035</v>
      </c>
      <c r="N64" s="65">
        <f>N14*N34*Inputs!$B$13</f>
        <v>0.0035</v>
      </c>
      <c r="O64" s="65">
        <f>O14*O34*Inputs!$B$13</f>
        <v>0</v>
      </c>
      <c r="P64" s="65">
        <f>P14*P34*Inputs!$B$13</f>
        <v>0.0035</v>
      </c>
      <c r="Q64" s="65">
        <f>Q14*Q34*Inputs!$B$13</f>
        <v>0.0035</v>
      </c>
      <c r="R64" s="65">
        <f>R14*R34*Inputs!$B$13</f>
        <v>0</v>
      </c>
      <c r="S64" s="65">
        <f>S14*S34*Inputs!$B$13</f>
        <v>0.0035</v>
      </c>
      <c r="T64" s="65">
        <f>T14*T34*Inputs!$B$13</f>
        <v>0.0035</v>
      </c>
      <c r="U64" s="65">
        <f>U14*U34*Inputs!$B$13</f>
        <v>0</v>
      </c>
      <c r="V64" s="65">
        <f>V14*V34*Inputs!$B$13</f>
        <v>0.0035</v>
      </c>
      <c r="W64" s="65">
        <f>W14*W34*Inputs!$B$13</f>
        <v>0.0035</v>
      </c>
      <c r="X64" s="65">
        <f>X14*X34*Inputs!$B$13</f>
        <v>0</v>
      </c>
      <c r="Y64" s="65">
        <f>Y14*Y34*Inputs!$B$13</f>
        <v>0.0035</v>
      </c>
      <c r="Z64" s="65">
        <f>Z14*Z34*Inputs!$B$13</f>
        <v>0.0035</v>
      </c>
      <c r="AA64" s="65">
        <f>AA14*AA34*Inputs!$B$13</f>
        <v>0</v>
      </c>
      <c r="AB64" s="65">
        <f>AB14*AB34*Inputs!$B$13</f>
        <v>0.0035</v>
      </c>
      <c r="AC64" s="65">
        <f>AC14*AC34*Inputs!$B$13</f>
        <v>0.0035</v>
      </c>
      <c r="AD64" s="65">
        <f>AD14*AD34*Inputs!$B$13</f>
        <v>0</v>
      </c>
      <c r="AE64" s="65">
        <f>AE14*AE34*Inputs!$B$13</f>
        <v>0.0035</v>
      </c>
      <c r="AF64" s="65">
        <f>AF14*AF34*Inputs!$B$13</f>
        <v>0.0035</v>
      </c>
      <c r="AG64" s="65">
        <f>AG14*AG34*Inputs!$B$13</f>
        <v>0</v>
      </c>
      <c r="AH64" s="65">
        <f>AH14*AH34*Inputs!$B$13</f>
        <v>0.0035</v>
      </c>
      <c r="AI64" s="65">
        <f>AI14*AI34*Inputs!$B$13</f>
        <v>0.0035</v>
      </c>
    </row>
    <row r="65" ht="15.75" customHeight="1">
      <c r="A65" s="51" t="s">
        <v>200</v>
      </c>
      <c r="B65" s="3" t="s">
        <v>100</v>
      </c>
      <c r="C65" s="65">
        <f>C53*Inputs!$B$11*(C27*C29+(1-C27)*C28)/365</f>
        <v>0.002200210974</v>
      </c>
      <c r="D65" s="65">
        <f>D53*Inputs!$B$11*(D27*D29+(1-D27)*D28)/365</f>
        <v>0.01427615539</v>
      </c>
      <c r="E65" s="65">
        <f>E53*Inputs!$B$11*(E27*E29+(1-E27)*E28)/365</f>
        <v>0.0121134789</v>
      </c>
      <c r="F65" s="65">
        <f>F53*Inputs!$B$11*(F27*F29+(1-F27)*F28)/365</f>
        <v>0.002200210974</v>
      </c>
      <c r="G65" s="65">
        <f>G53*Inputs!$B$11*(G27*G29+(1-G27)*G28)/365</f>
        <v>0.01427615539</v>
      </c>
      <c r="H65" s="65">
        <f>H53*Inputs!$B$11*(H27*H29+(1-H27)*H28)/365</f>
        <v>0.0121134789</v>
      </c>
      <c r="I65" s="65">
        <f>I53*Inputs!$B$11*(I27*I29+(1-I27)*I28)/365</f>
        <v>0.002200210974</v>
      </c>
      <c r="J65" s="65">
        <f>J53*Inputs!$B$11*(J27*J29+(1-J27)*J28)/365</f>
        <v>0.01427615539</v>
      </c>
      <c r="K65" s="65">
        <f>K53*Inputs!$B$11*(K27*K29+(1-K27)*K28)/365</f>
        <v>0.0121134789</v>
      </c>
      <c r="L65" s="65">
        <f>L53*Inputs!$B$11*(L27*L29+(1-L27)*L28)/365</f>
        <v>0.002200210974</v>
      </c>
      <c r="M65" s="65">
        <f>M53*Inputs!$B$11*(M27*M29+(1-M27)*M28)/365</f>
        <v>0.01427615539</v>
      </c>
      <c r="N65" s="65">
        <f>N53*Inputs!$B$11*(N27*N29+(1-N27)*N28)/365</f>
        <v>0.0121134789</v>
      </c>
      <c r="O65" s="65">
        <f>O53*Inputs!$B$11*(O27*O29+(1-O27)*O28)/365</f>
        <v>0.00222326522</v>
      </c>
      <c r="P65" s="65">
        <f>P53*Inputs!$B$11*(P27*P29+(1-P27)*P28)/365</f>
        <v>0.01449081841</v>
      </c>
      <c r="Q65" s="65">
        <f>Q53*Inputs!$B$11*(Q27*Q29+(1-Q27)*Q28)/365</f>
        <v>0.01224788458</v>
      </c>
      <c r="R65" s="65">
        <f>R53*Inputs!$B$11*(R27*R29+(1-R27)*R28)/365</f>
        <v>0.002181348408</v>
      </c>
      <c r="S65" s="65">
        <f>S53*Inputs!$B$11*(S27*S29+(1-S27)*S28)/365</f>
        <v>0.01410052202</v>
      </c>
      <c r="T65" s="65">
        <f>T53*Inputs!$B$11*(T27*T29+(1-T27)*T28)/365</f>
        <v>0.01200351061</v>
      </c>
      <c r="U65" s="65">
        <f>U53*Inputs!$B$11*(U27*U29+(1-U27)*U28)/365</f>
        <v>0.002216215634</v>
      </c>
      <c r="V65" s="65">
        <f>V53*Inputs!$B$11*(V27*V29+(1-V27)*V28)/365</f>
        <v>0.01440228295</v>
      </c>
      <c r="W65" s="65">
        <f>W53*Inputs!$B$11*(W27*W29+(1-W27)*W28)/365</f>
        <v>0.01221173664</v>
      </c>
      <c r="X65" s="65">
        <f>X53*Inputs!$B$11*(X27*X29+(1-X27)*X28)/365</f>
        <v>0.002280011372</v>
      </c>
      <c r="Y65" s="65">
        <f>Y53*Inputs!$B$11*(Y27*Y29+(1-Y27)*Y28)/365</f>
        <v>0.01427615539</v>
      </c>
      <c r="Z65" s="65">
        <f>Z53*Inputs!$B$11*(Z27*Z29+(1-Z27)*Z28)/365</f>
        <v>0.0121134789</v>
      </c>
      <c r="AA65" s="65">
        <f>AA53*Inputs!$B$11*(AA27*AA29+(1-AA27)*AA28)/365</f>
        <v>0.002297416962</v>
      </c>
      <c r="AB65" s="65">
        <f>AB53*Inputs!$B$11*(AB27*AB29+(1-AB27)*AB28)/365</f>
        <v>0.01427615539</v>
      </c>
      <c r="AC65" s="65">
        <f>AC53*Inputs!$B$11*(AC27*AC29+(1-AC27)*AC28)/365</f>
        <v>0.0121134789</v>
      </c>
      <c r="AD65" s="65">
        <f>AD53*Inputs!$B$11*(AD27*AD29+(1-AD27)*AD28)/365</f>
        <v>0.002216215634</v>
      </c>
      <c r="AE65" s="65">
        <f>AE53*Inputs!$B$11*(AE27*AE29+(1-AE27)*AE28)/365</f>
        <v>0.01440228295</v>
      </c>
      <c r="AF65" s="65">
        <f>AF53*Inputs!$B$11*(AF27*AF29+(1-AF27)*AF28)/365</f>
        <v>0.01221173664</v>
      </c>
      <c r="AG65" s="65">
        <f>AG53*Inputs!$B$11*(AG27*AG29+(1-AG27)*AG28)/365</f>
        <v>0.002404633377</v>
      </c>
      <c r="AH65" s="65">
        <f>AH53*Inputs!$B$11*(AH27*AH29+(1-AH27)*AH28)/365</f>
        <v>0.01449081841</v>
      </c>
      <c r="AI65" s="65">
        <f>AI53*Inputs!$B$11*(AI27*AI29+(1-AI27)*AI28)/365</f>
        <v>0.01224788458</v>
      </c>
    </row>
    <row r="66" ht="15.75" customHeight="1">
      <c r="A66" s="69" t="s">
        <v>322</v>
      </c>
      <c r="B66" s="70" t="s">
        <v>100</v>
      </c>
      <c r="C66" s="71">
        <f t="shared" ref="C66:AI66" si="20">C53+C56+C57+C60+C61+C62+C63+C64+C65</f>
        <v>4.030000623</v>
      </c>
      <c r="D66" s="71">
        <f t="shared" si="20"/>
        <v>3.67721187</v>
      </c>
      <c r="E66" s="71">
        <f t="shared" si="20"/>
        <v>3.969769218</v>
      </c>
      <c r="F66" s="71">
        <f t="shared" si="20"/>
        <v>4.030000623</v>
      </c>
      <c r="G66" s="71">
        <f t="shared" si="20"/>
        <v>4.03855651</v>
      </c>
      <c r="H66" s="71">
        <f t="shared" si="20"/>
        <v>4.38049361</v>
      </c>
      <c r="I66" s="71">
        <f t="shared" si="20"/>
        <v>4.030000623</v>
      </c>
      <c r="J66" s="71">
        <f t="shared" si="20"/>
        <v>3.315867231</v>
      </c>
      <c r="K66" s="71">
        <f t="shared" si="20"/>
        <v>3.764407022</v>
      </c>
      <c r="L66" s="71">
        <f t="shared" si="20"/>
        <v>4.042600623</v>
      </c>
      <c r="M66" s="71">
        <f t="shared" si="20"/>
        <v>3.90530337</v>
      </c>
      <c r="N66" s="71">
        <f t="shared" si="20"/>
        <v>4.219957968</v>
      </c>
      <c r="O66" s="71">
        <f t="shared" si="20"/>
        <v>4.072139751</v>
      </c>
      <c r="P66" s="71">
        <f t="shared" si="20"/>
        <v>3.730165076</v>
      </c>
      <c r="Q66" s="71">
        <f t="shared" si="20"/>
        <v>4.011926493</v>
      </c>
      <c r="R66" s="71">
        <f t="shared" si="20"/>
        <v>3.995523155</v>
      </c>
      <c r="S66" s="71">
        <f t="shared" si="20"/>
        <v>3.633886521</v>
      </c>
      <c r="T66" s="71">
        <f t="shared" si="20"/>
        <v>3.935276902</v>
      </c>
      <c r="U66" s="71">
        <f t="shared" si="20"/>
        <v>4.059254341</v>
      </c>
      <c r="V66" s="71">
        <f t="shared" si="20"/>
        <v>3.708325095</v>
      </c>
      <c r="W66" s="71">
        <f t="shared" si="20"/>
        <v>4.00058844</v>
      </c>
      <c r="X66" s="71">
        <f t="shared" si="20"/>
        <v>4.175861786</v>
      </c>
      <c r="Y66" s="71">
        <f t="shared" si="20"/>
        <v>3.67721187</v>
      </c>
      <c r="Z66" s="71">
        <f t="shared" si="20"/>
        <v>3.969769218</v>
      </c>
      <c r="AA66" s="71">
        <f t="shared" si="20"/>
        <v>4.207676158</v>
      </c>
      <c r="AB66" s="71">
        <f t="shared" si="20"/>
        <v>3.67721187</v>
      </c>
      <c r="AC66" s="71">
        <f t="shared" si="20"/>
        <v>3.969769218</v>
      </c>
      <c r="AD66" s="71">
        <f t="shared" si="20"/>
        <v>4.071854341</v>
      </c>
      <c r="AE66" s="71">
        <f t="shared" si="20"/>
        <v>4.323343502</v>
      </c>
      <c r="AF66" s="71">
        <f t="shared" si="20"/>
        <v>4.690680118</v>
      </c>
      <c r="AG66" s="71">
        <f t="shared" si="20"/>
        <v>4.403649001</v>
      </c>
      <c r="AH66" s="71">
        <f t="shared" si="20"/>
        <v>3.730165076</v>
      </c>
      <c r="AI66" s="71">
        <f t="shared" si="20"/>
        <v>4.011926493</v>
      </c>
    </row>
    <row r="67" ht="15.75" customHeight="1">
      <c r="A67" s="51" t="s">
        <v>323</v>
      </c>
      <c r="B67" s="3" t="s">
        <v>100</v>
      </c>
      <c r="C67" s="65">
        <f t="shared" ref="C67:AI67" si="21">C66-C52</f>
        <v>4.175636349</v>
      </c>
      <c r="D67" s="65">
        <f t="shared" si="21"/>
        <v>3.67721187</v>
      </c>
      <c r="E67" s="65">
        <f t="shared" si="21"/>
        <v>3.969769218</v>
      </c>
      <c r="F67" s="65">
        <f t="shared" si="21"/>
        <v>4.175636349</v>
      </c>
      <c r="G67" s="65">
        <f t="shared" si="21"/>
        <v>4.03855651</v>
      </c>
      <c r="H67" s="65">
        <f t="shared" si="21"/>
        <v>4.38049361</v>
      </c>
      <c r="I67" s="65">
        <f t="shared" si="21"/>
        <v>4.175636349</v>
      </c>
      <c r="J67" s="65">
        <f t="shared" si="21"/>
        <v>3.315867231</v>
      </c>
      <c r="K67" s="65">
        <f t="shared" si="21"/>
        <v>3.764407022</v>
      </c>
      <c r="L67" s="65">
        <f t="shared" si="21"/>
        <v>4.188236349</v>
      </c>
      <c r="M67" s="65">
        <f t="shared" si="21"/>
        <v>3.90530337</v>
      </c>
      <c r="N67" s="65">
        <f t="shared" si="21"/>
        <v>4.219957968</v>
      </c>
      <c r="O67" s="65">
        <f t="shared" si="21"/>
        <v>4.219301478</v>
      </c>
      <c r="P67" s="65">
        <f t="shared" si="21"/>
        <v>3.730165076</v>
      </c>
      <c r="Q67" s="65">
        <f t="shared" si="21"/>
        <v>4.011926493</v>
      </c>
      <c r="R67" s="65">
        <f t="shared" si="21"/>
        <v>4.139910335</v>
      </c>
      <c r="S67" s="65">
        <f t="shared" si="21"/>
        <v>3.633886521</v>
      </c>
      <c r="T67" s="65">
        <f t="shared" si="21"/>
        <v>3.935276902</v>
      </c>
      <c r="U67" s="65">
        <f t="shared" si="21"/>
        <v>4.205949443</v>
      </c>
      <c r="V67" s="65">
        <f t="shared" si="21"/>
        <v>3.708325095</v>
      </c>
      <c r="W67" s="65">
        <f t="shared" si="21"/>
        <v>4.00058844</v>
      </c>
      <c r="X67" s="65">
        <f t="shared" si="21"/>
        <v>4.175861786</v>
      </c>
      <c r="Y67" s="65">
        <f t="shared" si="21"/>
        <v>3.67721187</v>
      </c>
      <c r="Z67" s="65">
        <f t="shared" si="21"/>
        <v>3.969769218</v>
      </c>
      <c r="AA67" s="65">
        <f t="shared" si="21"/>
        <v>4.359746115</v>
      </c>
      <c r="AB67" s="65">
        <f t="shared" si="21"/>
        <v>3.67721187</v>
      </c>
      <c r="AC67" s="65">
        <f t="shared" si="21"/>
        <v>3.969769218</v>
      </c>
      <c r="AD67" s="65">
        <f t="shared" si="21"/>
        <v>4.218549443</v>
      </c>
      <c r="AE67" s="65">
        <f t="shared" si="21"/>
        <v>4.323343502</v>
      </c>
      <c r="AF67" s="65">
        <f t="shared" si="21"/>
        <v>4.690680118</v>
      </c>
      <c r="AG67" s="65">
        <f t="shared" si="21"/>
        <v>4.403649001</v>
      </c>
      <c r="AH67" s="65">
        <f t="shared" si="21"/>
        <v>3.730165076</v>
      </c>
      <c r="AI67" s="65">
        <f t="shared" si="21"/>
        <v>4.011926493</v>
      </c>
    </row>
    <row r="68" ht="15.75" customHeight="1">
      <c r="A68" s="51" t="s">
        <v>324</v>
      </c>
      <c r="B68" s="3" t="s">
        <v>325</v>
      </c>
      <c r="C68" s="72">
        <f>C66*Inputs!$B$10*C$9/1000000</f>
        <v>20.15000312</v>
      </c>
      <c r="D68" s="72">
        <f>D66*Inputs!$B$10*D$9/1000000</f>
        <v>18.38605935</v>
      </c>
      <c r="E68" s="72">
        <f>E66*Inputs!$B$10*E$9/1000000</f>
        <v>19.84884609</v>
      </c>
      <c r="F68" s="72">
        <f>F66*Inputs!$B$10*F$9/1000000</f>
        <v>20.15000312</v>
      </c>
      <c r="G68" s="72">
        <f>G66*Inputs!$B$10*G$9/1000000</f>
        <v>20.19278255</v>
      </c>
      <c r="H68" s="72">
        <f>H66*Inputs!$B$10*H$9/1000000</f>
        <v>21.90246805</v>
      </c>
      <c r="I68" s="72">
        <f>I66*Inputs!$B$10*I$9/1000000</f>
        <v>20.15000312</v>
      </c>
      <c r="J68" s="72">
        <f>J66*Inputs!$B$10*J$9/1000000</f>
        <v>16.57933615</v>
      </c>
      <c r="K68" s="72">
        <f>K66*Inputs!$B$10*K$9/1000000</f>
        <v>18.82203511</v>
      </c>
      <c r="L68" s="72">
        <f>L66*Inputs!$B$10*L$9/1000000</f>
        <v>20.21300312</v>
      </c>
      <c r="M68" s="72">
        <f>M66*Inputs!$B$10*M$9/1000000</f>
        <v>19.52651685</v>
      </c>
      <c r="N68" s="72">
        <f>N66*Inputs!$B$10*N$9/1000000</f>
        <v>21.09978984</v>
      </c>
      <c r="O68" s="72">
        <f>O66*Inputs!$B$10*O$9/1000000</f>
        <v>18.32462888</v>
      </c>
      <c r="P68" s="72">
        <f>P66*Inputs!$B$10*P$9/1000000</f>
        <v>16.78574284</v>
      </c>
      <c r="Q68" s="72">
        <f>Q66*Inputs!$B$10*Q$9/1000000</f>
        <v>18.05366922</v>
      </c>
      <c r="R68" s="72">
        <f>R66*Inputs!$B$10*R$9/1000000</f>
        <v>21.97537735</v>
      </c>
      <c r="S68" s="72">
        <f>S66*Inputs!$B$10*S$9/1000000</f>
        <v>19.98637586</v>
      </c>
      <c r="T68" s="72">
        <f>T66*Inputs!$B$10*T$9/1000000</f>
        <v>21.64402296</v>
      </c>
      <c r="U68" s="72">
        <f>U66*Inputs!$B$10*U$9/1000000</f>
        <v>20.2962717</v>
      </c>
      <c r="V68" s="72">
        <f>V66*Inputs!$B$10*V$9/1000000</f>
        <v>18.54162548</v>
      </c>
      <c r="W68" s="72">
        <f>W66*Inputs!$B$10*W$9/1000000</f>
        <v>20.0029422</v>
      </c>
      <c r="X68" s="72">
        <f>X66*Inputs!$B$10*X$9/1000000</f>
        <v>20.87930893</v>
      </c>
      <c r="Y68" s="72">
        <f>Y66*Inputs!$B$10*Y$9/1000000</f>
        <v>18.38605935</v>
      </c>
      <c r="Z68" s="72">
        <f>Z66*Inputs!$B$10*Z$9/1000000</f>
        <v>19.84884609</v>
      </c>
      <c r="AA68" s="72">
        <f>AA66*Inputs!$B$10*AA$9/1000000</f>
        <v>21.03838079</v>
      </c>
      <c r="AB68" s="72">
        <f>AB66*Inputs!$B$10*AB$9/1000000</f>
        <v>18.38605935</v>
      </c>
      <c r="AC68" s="72">
        <f>AC66*Inputs!$B$10*AC$9/1000000</f>
        <v>19.84884609</v>
      </c>
      <c r="AD68" s="72">
        <f>AD66*Inputs!$B$10*AD$9/1000000</f>
        <v>20.3592717</v>
      </c>
      <c r="AE68" s="72">
        <f>AE66*Inputs!$B$10*AE$9/1000000</f>
        <v>21.61671751</v>
      </c>
      <c r="AF68" s="72">
        <f>AF66*Inputs!$B$10*AF$9/1000000</f>
        <v>23.45340059</v>
      </c>
      <c r="AG68" s="72">
        <f>AG66*Inputs!$B$10*AG$9/1000000</f>
        <v>19.81642051</v>
      </c>
      <c r="AH68" s="72">
        <f>AH66*Inputs!$B$10*AH$9/1000000</f>
        <v>16.78574284</v>
      </c>
      <c r="AI68" s="72">
        <f>AI66*Inputs!$B$10*AI$9/1000000</f>
        <v>18.05366922</v>
      </c>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row>
  </sheetData>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0"/>
    <col customWidth="1" min="2" max="2" width="22.0"/>
    <col customWidth="1" min="3" max="3" width="60.0"/>
    <col customWidth="1" min="4" max="4" width="80.0"/>
    <col customWidth="1" min="5" max="26" width="8.71"/>
  </cols>
  <sheetData>
    <row r="1">
      <c r="A1" s="2" t="s">
        <v>250</v>
      </c>
    </row>
    <row r="2">
      <c r="A2" s="3" t="s">
        <v>251</v>
      </c>
    </row>
    <row r="4">
      <c r="A4" s="9" t="s">
        <v>252</v>
      </c>
      <c r="B4" s="9" t="s">
        <v>253</v>
      </c>
      <c r="C4" s="9" t="s">
        <v>254</v>
      </c>
      <c r="D4" s="9" t="s">
        <v>255</v>
      </c>
    </row>
    <row r="5" ht="48.0" customHeight="1">
      <c r="A5" s="60" t="s">
        <v>256</v>
      </c>
      <c r="B5" s="60" t="s">
        <v>257</v>
      </c>
      <c r="C5" s="60" t="s">
        <v>258</v>
      </c>
      <c r="D5" s="60" t="s">
        <v>259</v>
      </c>
    </row>
    <row r="6" ht="48.0" customHeight="1">
      <c r="A6" s="60" t="s">
        <v>260</v>
      </c>
      <c r="B6" s="60" t="s">
        <v>261</v>
      </c>
      <c r="C6" s="60" t="s">
        <v>262</v>
      </c>
      <c r="D6" s="60" t="s">
        <v>263</v>
      </c>
    </row>
    <row r="7" ht="48.0" customHeight="1">
      <c r="A7" s="60" t="s">
        <v>264</v>
      </c>
      <c r="B7" s="60" t="s">
        <v>257</v>
      </c>
      <c r="C7" s="60" t="s">
        <v>265</v>
      </c>
      <c r="D7" s="60" t="s">
        <v>266</v>
      </c>
    </row>
    <row r="8" ht="48.0" customHeight="1">
      <c r="A8" s="60" t="s">
        <v>267</v>
      </c>
      <c r="B8" s="60" t="s">
        <v>268</v>
      </c>
      <c r="C8" s="60" t="s">
        <v>269</v>
      </c>
      <c r="D8" s="60" t="s">
        <v>270</v>
      </c>
    </row>
    <row r="9" ht="48.0" customHeight="1">
      <c r="A9" s="60" t="s">
        <v>271</v>
      </c>
      <c r="B9" s="60" t="s">
        <v>272</v>
      </c>
      <c r="C9" s="60" t="s">
        <v>273</v>
      </c>
      <c r="D9" s="60" t="s">
        <v>274</v>
      </c>
    </row>
    <row r="10" ht="48.0" customHeight="1">
      <c r="A10" s="60" t="s">
        <v>275</v>
      </c>
      <c r="B10" s="60" t="s">
        <v>276</v>
      </c>
      <c r="C10" s="60" t="s">
        <v>277</v>
      </c>
      <c r="D10" s="60" t="s">
        <v>278</v>
      </c>
    </row>
    <row r="11" ht="48.0" customHeight="1">
      <c r="A11" s="60" t="s">
        <v>279</v>
      </c>
      <c r="B11" s="60" t="s">
        <v>272</v>
      </c>
      <c r="C11" s="60" t="s">
        <v>280</v>
      </c>
      <c r="D11" s="60" t="s">
        <v>281</v>
      </c>
    </row>
    <row r="12" ht="48.0" customHeight="1">
      <c r="A12" s="60" t="s">
        <v>282</v>
      </c>
      <c r="B12" s="53" t="s">
        <v>283</v>
      </c>
      <c r="C12" s="60" t="s">
        <v>284</v>
      </c>
      <c r="D12" s="60" t="s">
        <v>285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