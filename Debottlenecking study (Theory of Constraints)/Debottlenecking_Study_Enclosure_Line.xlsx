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Inputs" sheetId="3" state="visible" r:id="rId5"/>
    <sheet name="BaseAnalysis" sheetId="4" state="visible" r:id="rId6"/>
    <sheet name="Fixes" sheetId="5" state="visible" r:id="rId7"/>
    <sheet name="SimResults" sheetId="6" state="visible" r:id="rId8"/>
    <sheet name="Economics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<sst xmlns="http://schemas.openxmlformats.org/spreadsheetml/2006/main" count="355" uniqueCount="269">
  <si>
    <t xml:space="preserve">Debottlenecking Study (Theory of Constraints): Aluminium Enclosure Production Line</t>
  </si>
  <si>
    <t xml:space="preserve">SIMULATED / ILLUSTRATIVE DATA. Not a real plant. Stage parameters are benchmark-informed assumptions; replace with time-study data.</t>
  </si>
  <si>
    <t xml:space="preserve">Question</t>
  </si>
  <si>
    <t xml:space="preserve">One production module must deliver 10,000 good enclosures a week. Where is the constraint, how much output does it cost, which fixes recover it, and what do they cost?</t>
  </si>
  <si>
    <t xml:space="preserve">Line</t>
  </si>
  <si>
    <t xml:space="preserve">Blank saw &gt; CNC OP10 rough &gt; CNC OP20 finish &gt; deburr / polish &gt; anodising (48-unit rack batches) &gt; inspection &gt; packing. One module is 10% of the 5-million-unit-a-year line modelled in Project 1.</t>
  </si>
  <si>
    <t xml:space="preserve">Two models, one answer</t>
  </si>
  <si>
    <t xml:space="preserve">Excel (this workbook) does the rate-based Theory of Constraints analysis: capacity, utilisation, takt, OEE, constraint, scenario output and economics, all as formulas. A SimPy discrete-event simulation (simulate.py, 8 replications per scenario) adds what averages hide: breakdowns, cycle-time variability, queues, WIP and lead time. Simulation outputs are pasted on the SimResults sheet.</t>
  </si>
  <si>
    <t xml:space="preserve">Five focusing steps</t>
  </si>
  <si>
    <t xml:space="preserve">1 Identify the constraint (BaseAnalysis). 2 Exploit it: get more from what exists (SMED, TPM, yield at the constraint). 3 Subordinate everything else (drum-buffer-rope release). 4 Elevate it: add capacity only if still needed (third line, 7-day working). 5 Repeat: the constraint moves (Fixes sheet shows the next one).</t>
  </si>
  <si>
    <t xml:space="preserve">Sheets</t>
  </si>
  <si>
    <t xml:space="preserve">Dashboard &gt; Inputs &gt; BaseAnalysis &gt; Fixes (deterministic scenarios) &gt; SimResults (SimPy output, rope sweep) &gt; Economics (gain vs cost) &gt; Sources.</t>
  </si>
  <si>
    <t xml:space="preserve">How to use</t>
  </si>
  <si>
    <t xml:space="preserve">Change only BLUE cells (stage parameters, fix parameters, costs, 0/1 scenario flags). Everything except SimResults recalculates. If you change stage parameters, re-run simulate.py and run_experiments.py and repaste SimResults so the simulation matches.</t>
  </si>
  <si>
    <t xml:space="preserve">Colour code</t>
  </si>
  <si>
    <t xml:space="preserve">Blue = input. Black = formula. Green = link to another sheet. Yellow fill = key assumption.</t>
  </si>
  <si>
    <t xml:space="preserve">Cost-benefit logic</t>
  </si>
  <si>
    <t xml:space="preserve">Gain = extra sellable good units per week (capped at demand) x 50 weeks x contribution per unit. Contribution = Project 1 ex-works price - net material - assumed variable conversion cost. Costs are illustrative one-time and annual amounts; one-time costs are spread over 3 years. Gains assume the customer will buy the recovered units.</t>
  </si>
  <si>
    <t xml:space="preserve">Limitations</t>
  </si>
  <si>
    <t xml:space="preserve">Simulated line, not a real one. Lots of 6 units move between stages. Failures are operating-time based. Costs of fixes are assumptions to be replaced by quotes. Weekly gain is demand-capped, so fixes beyond the first are worth little unless demand grows.</t>
  </si>
  <si>
    <t xml:space="preserve">Dashboard: finding and fixing the constraint on an enclosure production line</t>
  </si>
  <si>
    <t xml:space="preserve">SIMULATED / ILLUSTRATIVE DATA. Every figure is a formula (deterministic metrics) or a pasted SimPy result (SimResults).</t>
  </si>
  <si>
    <t xml:space="preserve">Step 1: where is the constraint?</t>
  </si>
  <si>
    <t xml:space="preserve">Constraint stage (base case)</t>
  </si>
  <si>
    <t xml:space="preserve">Maximum good output per week (theory)</t>
  </si>
  <si>
    <t xml:space="preserve">Output as % of demand</t>
  </si>
  <si>
    <t xml:space="preserve">Simulated base output (good units/wk)</t>
  </si>
  <si>
    <t xml:space="preserve">OEE of the constraint stage</t>
  </si>
  <si>
    <t xml:space="preserve">Takt time per good unit (seconds)</t>
  </si>
  <si>
    <t xml:space="preserve">Next-most-constrained stage</t>
  </si>
  <si>
    <t xml:space="preserve">Steps 2-3: exploit and subordinate</t>
  </si>
  <si>
    <t xml:space="preserve">DBR release: WIP reduction vs push (simulated)</t>
  </si>
  <si>
    <t xml:space="preserve">Flow time, push release (hours)</t>
  </si>
  <si>
    <t xml:space="preserve">Flow time, DBR release (hours)</t>
  </si>
  <si>
    <t xml:space="preserve">SMED alone: simulated output (good units/wk)</t>
  </si>
  <si>
    <t xml:space="preserve">SMED alone: net annual benefit (USD, module)</t>
  </si>
  <si>
    <t xml:space="preserve">Steps 4-5: elevate only if needed, then repeat</t>
  </si>
  <si>
    <t xml:space="preserve">Best scenario by net annual benefit</t>
  </si>
  <si>
    <t xml:space="preserve">Its net annual benefit (USD, module)</t>
  </si>
  <si>
    <t xml:space="preserve">Low-cost package (DBR + SMED): net annual benefit (USD)</t>
  </si>
  <si>
    <t xml:space="preserve">Capex route (DBR + third line): net annual benefit (USD)</t>
  </si>
  <si>
    <t xml:space="preserve">Constraint after low-cost package</t>
  </si>
  <si>
    <t xml:space="preserve">Low-cost package: headroom over demand (theory)</t>
  </si>
  <si>
    <t xml:space="preserve">Low-cost package: full-line net benefit (USD/yr)</t>
  </si>
  <si>
    <t xml:space="preserve">Inputs and assumptions (simulated line)</t>
  </si>
  <si>
    <t xml:space="preserve">Blue = input. Yellow = key assumption. Stage values are illustrative, benchmark-informed (see Sources).</t>
  </si>
  <si>
    <t xml:space="preserve">Global parameters</t>
  </si>
  <si>
    <t xml:space="preserve">Planned production hours per week</t>
  </si>
  <si>
    <t xml:space="preserve">h/week</t>
  </si>
  <si>
    <t xml:space="preserve">2 shifts x 8 h x 6 days</t>
  </si>
  <si>
    <t xml:space="preserve">Planned production minutes per week</t>
  </si>
  <si>
    <t xml:space="preserve">min/week</t>
  </si>
  <si>
    <t xml:space="preserve">Formula</t>
  </si>
  <si>
    <t xml:space="preserve">Weekly customer demand (good units)</t>
  </si>
  <si>
    <t xml:space="preserve">units/week</t>
  </si>
  <si>
    <t xml:space="preserve">Module target: 10% of Project 1's 5M units a year</t>
  </si>
  <si>
    <t xml:space="preserve">Production weeks per year</t>
  </si>
  <si>
    <t xml:space="preserve">weeks</t>
  </si>
  <si>
    <t xml:space="preserve">Assumption</t>
  </si>
  <si>
    <t xml:space="preserve">Anodising rack size</t>
  </si>
  <si>
    <t xml:space="preserve">units</t>
  </si>
  <si>
    <t xml:space="preserve">Assumption: units per rack batch</t>
  </si>
  <si>
    <t xml:space="preserve">Ex-works price per unit</t>
  </si>
  <si>
    <t xml:space="preserve">USD</t>
  </si>
  <si>
    <t xml:space="preserve">From Project 1 model: India base case, before ECMS incentive</t>
  </si>
  <si>
    <t xml:space="preserve">Net material cost per unit</t>
  </si>
  <si>
    <t xml:space="preserve">From Project 1 model: India base case, net of chip-scrap credit</t>
  </si>
  <si>
    <t xml:space="preserve">Variable conversion cost per unit</t>
  </si>
  <si>
    <t xml:space="preserve">Assumption: consumables, chemicals, energy that vary with output</t>
  </si>
  <si>
    <t xml:space="preserve">Contribution per extra good unit</t>
  </si>
  <si>
    <t xml:space="preserve">Formula: price - material - variable conversion</t>
  </si>
  <si>
    <t xml:space="preserve">Amortisation period for one-time costs</t>
  </si>
  <si>
    <t xml:space="preserve">years</t>
  </si>
  <si>
    <t xml:space="preserve">Scale factor, module to full 5M-unit line</t>
  </si>
  <si>
    <t xml:space="preserve">x</t>
  </si>
  <si>
    <t xml:space="preserve">Assumption: ten identical modules</t>
  </si>
  <si>
    <t xml:space="preserve">Stage parameters</t>
  </si>
  <si>
    <t xml:space="preserve">#</t>
  </si>
  <si>
    <t xml:space="preserve">Stage</t>
  </si>
  <si>
    <t xml:space="preserve">Type</t>
  </si>
  <si>
    <t xml:space="preserve">Machines / lines</t>
  </si>
  <si>
    <t xml:space="preserve">Ideal cycle per unit (min)</t>
  </si>
  <si>
    <t xml:space="preserve">Rack batch time (min)</t>
  </si>
  <si>
    <t xml:space="preserve">Availability</t>
  </si>
  <si>
    <t xml:space="preserve">Performance</t>
  </si>
  <si>
    <t xml:space="preserve">Yield</t>
  </si>
  <si>
    <t xml:space="preserve">MTTR (min)</t>
  </si>
  <si>
    <t xml:space="preserve">Basis</t>
  </si>
  <si>
    <t xml:space="preserve">Blank saw</t>
  </si>
  <si>
    <t xml:space="preserve">Per unit</t>
  </si>
  <si>
    <t xml:space="preserve">Fast, one saw; not a constraint</t>
  </si>
  <si>
    <t xml:space="preserve">CNC OP10 rough</t>
  </si>
  <si>
    <t xml:space="preserve">Rough milling, 7 machines</t>
  </si>
  <si>
    <t xml:space="preserve">CNC OP20 finish</t>
  </si>
  <si>
    <t xml:space="preserve">Finish milling, 9 machines; availability 90% = world-class threshold [W1]</t>
  </si>
  <si>
    <t xml:space="preserve">Deburr / polish</t>
  </si>
  <si>
    <t xml:space="preserve">Semi-automatic deburr / polish stations</t>
  </si>
  <si>
    <t xml:space="preserve">Anodising (rack batch)</t>
  </si>
  <si>
    <t xml:space="preserve">Batch</t>
  </si>
  <si>
    <t xml:space="preserve">Batch process: 2 rack lines, 52 min per 48-unit rack incl. load, pretreat, anodise, dye, seal</t>
  </si>
  <si>
    <t xml:space="preserve">Inspection</t>
  </si>
  <si>
    <t xml:space="preserve">100% visual plus sampled CMM</t>
  </si>
  <si>
    <t xml:space="preserve">Packing</t>
  </si>
  <si>
    <t xml:space="preserve">Pack and label</t>
  </si>
  <si>
    <t xml:space="preserve">Fix parameters and illustrative costs (all cost values are assumptions)</t>
  </si>
  <si>
    <t xml:space="preserve">Code</t>
  </si>
  <si>
    <t xml:space="preserve">Fix</t>
  </si>
  <si>
    <t xml:space="preserve">Parameter</t>
  </si>
  <si>
    <t xml:space="preserve">Unit</t>
  </si>
  <si>
    <t xml:space="preserve">One-time cost (USD)</t>
  </si>
  <si>
    <t xml:space="preserve">Annual cost (USD)</t>
  </si>
  <si>
    <t xml:space="preserve">What it does (TOC step)</t>
  </si>
  <si>
    <t xml:space="preserve">DBR</t>
  </si>
  <si>
    <t xml:space="preserve">Drum-buffer-rope release</t>
  </si>
  <si>
    <t xml:space="preserve">units ahead of constraint</t>
  </si>
  <si>
    <t xml:space="preserve">Subordinate: release only when the buffer ahead of anodising is below the rope; cuts WIP and lead time. Rope 400 units at base capacity, re-sized to 900 after the constraint is sped up</t>
  </si>
  <si>
    <t xml:space="preserve">YIELD</t>
  </si>
  <si>
    <t xml:space="preserve">Anodising yield improvement</t>
  </si>
  <si>
    <t xml:space="preserve">anodising yield</t>
  </si>
  <si>
    <t xml:space="preserve">Exploit: scrap at the constraint wastes constraint hours; better chemistry and process control</t>
  </si>
  <si>
    <t xml:space="preserve">SMED</t>
  </si>
  <si>
    <t xml:space="preserve">SMED on rack load / unload</t>
  </si>
  <si>
    <t xml:space="preserve">min per rack batch</t>
  </si>
  <si>
    <t xml:space="preserve">Exploit: faster rack changeover raises constraint capacity at low cost</t>
  </si>
  <si>
    <t xml:space="preserve">SEVEN</t>
  </si>
  <si>
    <t xml:space="preserve">Anodising 7 days a week</t>
  </si>
  <si>
    <t xml:space="preserve">capacity multiplier</t>
  </si>
  <si>
    <t xml:space="preserve">Elevate: extra constraint hours via weekend working</t>
  </si>
  <si>
    <t xml:space="preserve">LINE3</t>
  </si>
  <si>
    <t xml:space="preserve">Add third anodising line</t>
  </si>
  <si>
    <t xml:space="preserve">anodising lines</t>
  </si>
  <si>
    <t xml:space="preserve">Elevate: parallel station, capex</t>
  </si>
  <si>
    <t xml:space="preserve">TPM</t>
  </si>
  <si>
    <t xml:space="preserve">TPM at anodising</t>
  </si>
  <si>
    <t xml:space="preserve">anodising availability</t>
  </si>
  <si>
    <t xml:space="preserve">Exploit: preventive maintenance cuts breakdown time at the constraint</t>
  </si>
  <si>
    <t xml:space="preserve">Step 1: identify the constraint (rate-based analysis at target demand)</t>
  </si>
  <si>
    <t xml:space="preserve">Capacity = machines x planned minutes x availability x performance / ideal cycle. Utilisation above 100% means the stage cannot keep up with demand.</t>
  </si>
  <si>
    <t xml:space="preserve">Cumulative yield before stage</t>
  </si>
  <si>
    <t xml:space="preserve">Load at target (units/wk)</t>
  </si>
  <si>
    <t xml:space="preserve">Capacity (units/wk)</t>
  </si>
  <si>
    <t xml:space="preserve">Utilisation at target</t>
  </si>
  <si>
    <t xml:space="preserve">Effective cycle per unit (min)</t>
  </si>
  <si>
    <t xml:space="preserve">Stage takt (min/unit)</t>
  </si>
  <si>
    <t xml:space="preserve">OEE</t>
  </si>
  <si>
    <t xml:space="preserve">Starts capacity (starts/wk)</t>
  </si>
  <si>
    <t xml:space="preserve">Constraint?</t>
  </si>
  <si>
    <t xml:space="preserve">Util. rank</t>
  </si>
  <si>
    <t xml:space="preserve">Line summary</t>
  </si>
  <si>
    <t xml:space="preserve">Total line yield (first-pass)</t>
  </si>
  <si>
    <t xml:space="preserve">Starts per week needed to meet demand</t>
  </si>
  <si>
    <t xml:space="preserve">Takt time per good unit (min)</t>
  </si>
  <si>
    <t xml:space="preserve">Takt time per start (min)</t>
  </si>
  <si>
    <t xml:space="preserve">Maximum starts per week the line can support</t>
  </si>
  <si>
    <t xml:space="preserve">Constraint stage</t>
  </si>
  <si>
    <t xml:space="preserve">Maximum good output per week</t>
  </si>
  <si>
    <t xml:space="preserve">Shortfall versus demand (units/wk)</t>
  </si>
  <si>
    <t xml:space="preserve">Next stage: utilisation at target</t>
  </si>
  <si>
    <t xml:space="preserve">TOC rule: an hour lost at the constraint is an hour lost for the whole line; an hour saved at a non-constraint is a mirage.</t>
  </si>
  <si>
    <t xml:space="preserve">Steps 2-5: deterministic scenario analysis (theoretical output, no variability)</t>
  </si>
  <si>
    <t xml:space="preserve">Set 1/0 flags to switch fixes on. Levers, capacities, constraint and output recalculate. The constraint moves after each fix (step 5).</t>
  </si>
  <si>
    <t xml:space="preserve">ID</t>
  </si>
  <si>
    <t xml:space="preserve">Scenario</t>
  </si>
  <si>
    <t xml:space="preserve">Anodising lines</t>
  </si>
  <si>
    <t xml:space="preserve">Rack batch (min)</t>
  </si>
  <si>
    <t xml:space="preserve">Anodising availability</t>
  </si>
  <si>
    <t xml:space="preserve">Time multiplier</t>
  </si>
  <si>
    <t xml:space="preserve">Anodising yield</t>
  </si>
  <si>
    <t xml:space="preserve">Anodising capacity (units/wk)</t>
  </si>
  <si>
    <t xml:space="preserve">Line yield</t>
  </si>
  <si>
    <t xml:space="preserve">Max starts (starts/wk)</t>
  </si>
  <si>
    <t xml:space="preserve">Constraint after fix</t>
  </si>
  <si>
    <t xml:space="preserve">Max good output (units/wk)</t>
  </si>
  <si>
    <t xml:space="preserve">Sellable (capped at demand)</t>
  </si>
  <si>
    <t xml:space="preserve">Gain vs base (units/wk)</t>
  </si>
  <si>
    <t xml:space="preserve">Starts needed for demand</t>
  </si>
  <si>
    <t xml:space="preserve">Headroom over demand</t>
  </si>
  <si>
    <t xml:space="preserve">C0</t>
  </si>
  <si>
    <t xml:space="preserve">Base case (push release)</t>
  </si>
  <si>
    <t xml:space="preserve">C1</t>
  </si>
  <si>
    <t xml:space="preserve">DBR release only</t>
  </si>
  <si>
    <t xml:space="preserve">C2</t>
  </si>
  <si>
    <t xml:space="preserve">Anodising yield 90.5% to 93.5%</t>
  </si>
  <si>
    <t xml:space="preserve">C3</t>
  </si>
  <si>
    <t xml:space="preserve">SMED: rack batch 52 to 46 min</t>
  </si>
  <si>
    <t xml:space="preserve">C4</t>
  </si>
  <si>
    <t xml:space="preserve">C5</t>
  </si>
  <si>
    <t xml:space="preserve">C6</t>
  </si>
  <si>
    <t xml:space="preserve">TPM: anodising availability 96%</t>
  </si>
  <si>
    <t xml:space="preserve">C7</t>
  </si>
  <si>
    <t xml:space="preserve">Low-cost package: DBR + SMED</t>
  </si>
  <si>
    <t xml:space="preserve">C8</t>
  </si>
  <si>
    <t xml:space="preserve">DBR + SMED + yield at constraint</t>
  </si>
  <si>
    <t xml:space="preserve">C9</t>
  </si>
  <si>
    <t xml:space="preserve">DBR + SMED + TPM</t>
  </si>
  <si>
    <t xml:space="preserve">C10</t>
  </si>
  <si>
    <t xml:space="preserve">Capex route: DBR + third line</t>
  </si>
  <si>
    <t xml:space="preserve">C11</t>
  </si>
  <si>
    <t xml:space="preserve">All fixes</t>
  </si>
  <si>
    <t xml:space="preserve">SimPy simulation results (pasted from simulate.py / run_experiments.py)</t>
  </si>
  <si>
    <t xml:space="preserve">SIMULATED DATA. 8 replications per scenario (seeds 2026-2033), 8 weeks with 2 warm-up. Rope size 400 units. Blue = pasted outputs.</t>
  </si>
  <si>
    <t xml:space="preserve">Release</t>
  </si>
  <si>
    <t xml:space="preserve">Good units/wk (mean)</t>
  </si>
  <si>
    <t xml:space="preserve">Std dev</t>
  </si>
  <si>
    <t xml:space="preserve">95% CI +/-</t>
  </si>
  <si>
    <t xml:space="preserve">Avg WIP (units)</t>
  </si>
  <si>
    <t xml:space="preserve">Flow time (hours)</t>
  </si>
  <si>
    <t xml:space="preserve">Anodising busy %</t>
  </si>
  <si>
    <t xml:space="preserve">Rope used (units)</t>
  </si>
  <si>
    <t xml:space="preserve">PUSH</t>
  </si>
  <si>
    <t xml:space="preserve">Rope (buffer) size sweep: drum-buffer-rope release with base-case capacity</t>
  </si>
  <si>
    <t xml:space="preserve">Rope (units ahead of constraint)</t>
  </si>
  <si>
    <t xml:space="preserve">Busy % excludes repair time. Under push release the anodising queue grows without bound when the constraint is overloaded, so WIP and flow time are time-averages over the measurement window and keep rising with run length.</t>
  </si>
  <si>
    <t xml:space="preserve">Rope re-sizing after the constraint is sped up (DBR + SMED scenario)</t>
  </si>
  <si>
    <t xml:space="preserve">Lesson: a rope sized for the slow constraint starves it once capacity improves. Re-size the buffer after every exploit or elevate step (step 5).</t>
  </si>
  <si>
    <t xml:space="preserve">Gain versus cost (module level, USD)</t>
  </si>
  <si>
    <t xml:space="preserve">Gain uses simulated output, capped at demand. Net benefit = annual contribution gain - annualised cost. Full-line column scales by the module count on Inputs.</t>
  </si>
  <si>
    <t xml:space="preserve">Sim good units/wk</t>
  </si>
  <si>
    <t xml:space="preserve">Sellable (capped)</t>
  </si>
  <si>
    <t xml:space="preserve">Gain (units/yr)</t>
  </si>
  <si>
    <t xml:space="preserve">Contribution gain (USD/yr)</t>
  </si>
  <si>
    <t xml:space="preserve">Annualised cost (USD/yr)</t>
  </si>
  <si>
    <t xml:space="preserve">Net annual benefit (USD)</t>
  </si>
  <si>
    <t xml:space="preserve">Payback (months)</t>
  </si>
  <si>
    <t xml:space="preserve">WIP vs base</t>
  </si>
  <si>
    <t xml:space="preserve">Flow time (h)</t>
  </si>
  <si>
    <t xml:space="preserve">Theory sellable (units/wk)</t>
  </si>
  <si>
    <t xml:space="preserve">Demand (units/wk)</t>
  </si>
  <si>
    <t xml:space="preserve">Rank by net benefit</t>
  </si>
  <si>
    <t xml:space="preserve">Full-line net benefit (USD/yr)</t>
  </si>
  <si>
    <t xml:space="preserve">Reading the table: fixes at the constraint pay back fast; adding capacity (third line, 7-day working) costs more than the demand-capped gain once the cheap fixes exist. Recovered WIP and lead-time gains from DBR are real but are not converted to dollars here.</t>
  </si>
  <si>
    <t xml:space="preserve">Sources and basis</t>
  </si>
  <si>
    <t xml:space="preserve">The line is simulated. Benchmarks inform plausible ranges only; nothing here describes a real plant.</t>
  </si>
  <si>
    <t xml:space="preserve">Ref</t>
  </si>
  <si>
    <t xml:space="preserve">Source</t>
  </si>
  <si>
    <t xml:space="preserve">Used for</t>
  </si>
  <si>
    <t xml:space="preserve">URL / reference</t>
  </si>
  <si>
    <t xml:space="preserve">W1</t>
  </si>
  <si>
    <t xml:space="preserve">Fabrico: OEE benchmark guide (world-class 85% = 90% availability x 95% performance x 99.9% quality; typical about 60%)</t>
  </si>
  <si>
    <t xml:space="preserve">Plausible availability and performance ranges for stages</t>
  </si>
  <si>
    <t xml:space="preserve">https://www.fabrico.io/blog/oee-benchmark/</t>
  </si>
  <si>
    <t xml:space="preserve">W2</t>
  </si>
  <si>
    <t xml:space="preserve">TeepTrak: world-class OEE benchmark (metal fabrication and general machining: world-class 80-85%, average 55-65%)</t>
  </si>
  <si>
    <t xml:space="preserve">Sanity-check on machining-stage OEE</t>
  </si>
  <si>
    <t xml:space="preserve">https://teeptrak.com/en/world-class-oee-benchmark/</t>
  </si>
  <si>
    <t xml:space="preserve">W3</t>
  </si>
  <si>
    <t xml:space="preserve">Tractian: what is world-class OEE (Nakajima TPM benchmarks)</t>
  </si>
  <si>
    <t xml:space="preserve">OEE definition: availability x performance x quality</t>
  </si>
  <si>
    <t xml:space="preserve">https://tractian.com/en/blog/world-class-oee</t>
  </si>
  <si>
    <t xml:space="preserve">W4</t>
  </si>
  <si>
    <t xml:space="preserve">SimPy documentation: discrete-event simulation in Python</t>
  </si>
  <si>
    <t xml:space="preserve">Simulation framework</t>
  </si>
  <si>
    <t xml:space="preserve">https://simpy.readthedocs.io/</t>
  </si>
  <si>
    <t xml:space="preserve">B1</t>
  </si>
  <si>
    <t xml:space="preserve">Goldratt and Cox, The Goal (1984); Goldratt, Theory of Constraints and the Five Focusing Steps; drum-buffer-rope scheduling</t>
  </si>
  <si>
    <t xml:space="preserve">Method: identify, exploit, subordinate, elevate, repeat; DBR release</t>
  </si>
  <si>
    <t xml:space="preserve">Book reference (no URL)</t>
  </si>
  <si>
    <t xml:space="preserve">P1</t>
  </si>
  <si>
    <t xml:space="preserve">Project 1: TCO and scenario model, aluminium enclosure (India base case)</t>
  </si>
  <si>
    <t xml:space="preserve">Ex-works price, net material cost, and the 86% first-pass yield used as the base line yield</t>
  </si>
  <si>
    <t xml:space="preserve">Apple_Sourcing_TCO_Model_Aluminium_Enclosure.xlsx</t>
  </si>
  <si>
    <t xml:space="preserve">P2</t>
  </si>
  <si>
    <t xml:space="preserve">Project 2: localization gap and supplier risk dashboard</t>
  </si>
  <si>
    <t xml:space="preserve">Context: capacity ramp and yield are top-three risks for Indian enclosure suppliers</t>
  </si>
  <si>
    <t xml:space="preserve">Enclosure_Localization_Supplier_Risk_Dashboard.xlsx</t>
  </si>
  <si>
    <t xml:space="preserve">A1</t>
  </si>
  <si>
    <t xml:space="preserve">ASSUMPTION: all stage cycle times, machine counts, MTTR, fix parameters and fix costs</t>
  </si>
  <si>
    <t xml:space="preserve">Illustrative values; replace with time studies and supplier quotes</t>
  </si>
  <si>
    <t xml:space="preserve">n/a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</si>
</sst>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%;\(0.0%\);\-"/>
    <numFmt numFmtId="167" formatCode="#,##0.0;\(#,##0.0\);\-"/>
    <numFmt numFmtId="168" formatCode="\$#,##0;&quot;($&quot;#,##0\);\-"/>
    <numFmt numFmtId="169" formatCode="0%"/>
    <numFmt numFmtId="170" formatCode="\$#,##0"/>
    <numFmt numFmtId="171" formatCode="\$#,##0.00;&quot;($&quot;#,##0.00\);\-"/>
    <numFmt numFmtId="172" formatCode="#,##0.00;\(#,##0.00\);\-"/>
    <numFmt numFmtId="173" formatCode="0.000;\(0.000\);\-"/>
    <numFmt numFmtId="174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Utilisation at target demand (above 100% = constraint)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BaseAnalysis!G4</c:f>
              <c:strCache>
                <c:ptCount val="1"/>
                <c:pt idx="0">
                  <c:v>Utilisation at target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BaseAnalysis!$B$5:$B$11</c:f>
              <c:strCache>
                <c:ptCount val="7"/>
                <c:pt idx="0">
                  <c:v>Blank saw</c:v>
                </c:pt>
                <c:pt idx="1">
                  <c:v>CNC OP10 rough</c:v>
                </c:pt>
                <c:pt idx="2">
                  <c:v>CNC OP20 finish</c:v>
                </c:pt>
                <c:pt idx="3">
                  <c:v>Deburr / polish</c:v>
                </c:pt>
                <c:pt idx="4">
                  <c:v>Anodising (rack batch)</c:v>
                </c:pt>
                <c:pt idx="5">
                  <c:v>Inspection</c:v>
                </c:pt>
                <c:pt idx="6">
                  <c:v>Packing</c:v>
                </c:pt>
              </c:strCache>
            </c:strRef>
          </c:cat>
          <c:val>
            <c:numRef>
              <c:f>BaseAnalysis!$G$5:$G$11</c:f>
              <c:numCache>
                <c:formatCode>0.0%;\(0.0%\);\-</c:formatCode>
                <c:ptCount val="7"/>
                <c:pt idx="0">
                  <c:v>0.693920467456734</c:v>
                </c:pt>
                <c:pt idx="1">
                  <c:v>0.902335257589969</c:v>
                </c:pt>
                <c:pt idx="2">
                  <c:v>0.908582193988669</c:v>
                </c:pt>
                <c:pt idx="3">
                  <c:v>0.817521442336034</c:v>
                </c:pt>
                <c:pt idx="4">
                  <c:v>1.11955935424748</c:v>
                </c:pt>
                <c:pt idx="5">
                  <c:v>0.8106635232055</c:v>
                </c:pt>
                <c:pt idx="6">
                  <c:v>0.47147285948757</c:v>
                </c:pt>
              </c:numCache>
            </c:numRef>
          </c:val>
        </c:ser>
        <c:gapWidth val="50"/>
        <c:overlap val="0"/>
        <c:axId val="5542561"/>
        <c:axId val="79630949"/>
      </c:barChart>
      <c:catAx>
        <c:axId val="554256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630949"/>
        <c:crosses val="autoZero"/>
        <c:auto val="1"/>
        <c:lblAlgn val="ctr"/>
        <c:lblOffset val="100"/>
        <c:noMultiLvlLbl val="0"/>
      </c:catAx>
      <c:valAx>
        <c:axId val="7963094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25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Good output per week: simulated vs theory vs demand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Economics!D4</c:f>
              <c:strCache>
                <c:ptCount val="1"/>
                <c:pt idx="0">
                  <c:v>Sellable (capped)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Economics!$A$5:$A$16</c:f>
              <c:strCache>
                <c:ptCount val="12"/>
                <c:pt idx="0">
                  <c:v>C0</c:v>
                </c:pt>
                <c:pt idx="1">
                  <c:v>C1</c:v>
                </c:pt>
                <c:pt idx="2">
                  <c:v>C2</c:v>
                </c:pt>
                <c:pt idx="3">
                  <c:v>C3</c:v>
                </c:pt>
                <c:pt idx="4">
                  <c:v>C4</c:v>
                </c:pt>
                <c:pt idx="5">
                  <c:v>C5</c:v>
                </c:pt>
                <c:pt idx="6">
                  <c:v>C6</c:v>
                </c:pt>
                <c:pt idx="7">
                  <c:v>C7</c:v>
                </c:pt>
                <c:pt idx="8">
                  <c:v>C8</c:v>
                </c:pt>
                <c:pt idx="9">
                  <c:v>C9</c:v>
                </c:pt>
                <c:pt idx="10">
                  <c:v>C10</c:v>
                </c:pt>
                <c:pt idx="11">
                  <c:v>C11</c:v>
                </c:pt>
              </c:strCache>
            </c:strRef>
          </c:cat>
          <c:val>
            <c:numRef>
              <c:f>Economics!$D$5:$D$16</c:f>
              <c:numCache>
                <c:formatCode>#,##0;\(#,##0\);\-</c:formatCode>
                <c:ptCount val="12"/>
                <c:pt idx="0">
                  <c:v>8938</c:v>
                </c:pt>
                <c:pt idx="1">
                  <c:v>8937.8</c:v>
                </c:pt>
                <c:pt idx="2">
                  <c:v>9235.5</c:v>
                </c:pt>
                <c:pt idx="3">
                  <c:v>9969.1</c:v>
                </c:pt>
                <c:pt idx="4">
                  <c:v>9987.3</c:v>
                </c:pt>
                <c:pt idx="5">
                  <c:v>9999.4</c:v>
                </c:pt>
                <c:pt idx="6">
                  <c:v>9207.1</c:v>
                </c:pt>
                <c:pt idx="7">
                  <c:v>9967.4</c:v>
                </c:pt>
                <c:pt idx="8">
                  <c:v>9991.4</c:v>
                </c:pt>
                <c:pt idx="9">
                  <c:v>10000</c:v>
                </c:pt>
                <c:pt idx="10">
                  <c:v>9999.4</c:v>
                </c:pt>
                <c:pt idx="11">
                  <c:v>10000</c:v>
                </c:pt>
              </c:numCache>
            </c:numRef>
          </c:val>
        </c:ser>
        <c:ser>
          <c:idx val="1"/>
          <c:order val="1"/>
          <c:tx>
            <c:strRef>
              <c:f>Economics!O4</c:f>
              <c:strCache>
                <c:ptCount val="1"/>
                <c:pt idx="0">
                  <c:v>Theory sellable (units/wk)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Economics!$A$5:$A$16</c:f>
              <c:strCache>
                <c:ptCount val="12"/>
                <c:pt idx="0">
                  <c:v>C0</c:v>
                </c:pt>
                <c:pt idx="1">
                  <c:v>C1</c:v>
                </c:pt>
                <c:pt idx="2">
                  <c:v>C2</c:v>
                </c:pt>
                <c:pt idx="3">
                  <c:v>C3</c:v>
                </c:pt>
                <c:pt idx="4">
                  <c:v>C4</c:v>
                </c:pt>
                <c:pt idx="5">
                  <c:v>C5</c:v>
                </c:pt>
                <c:pt idx="6">
                  <c:v>C6</c:v>
                </c:pt>
                <c:pt idx="7">
                  <c:v>C7</c:v>
                </c:pt>
                <c:pt idx="8">
                  <c:v>C8</c:v>
                </c:pt>
                <c:pt idx="9">
                  <c:v>C9</c:v>
                </c:pt>
                <c:pt idx="10">
                  <c:v>C10</c:v>
                </c:pt>
                <c:pt idx="11">
                  <c:v>C11</c:v>
                </c:pt>
              </c:strCache>
            </c:strRef>
          </c:cat>
          <c:val>
            <c:numRef>
              <c:f>Economics!$O$5:$O$16</c:f>
              <c:numCache>
                <c:formatCode>#,##0;\(#,##0\);\-</c:formatCode>
                <c:ptCount val="12"/>
                <c:pt idx="0">
                  <c:v>8932.08561213046</c:v>
                </c:pt>
                <c:pt idx="1">
                  <c:v>8932.08561213046</c:v>
                </c:pt>
                <c:pt idx="2">
                  <c:v>9228.1768478917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9220.21740607015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</c:numCache>
            </c:numRef>
          </c:val>
        </c:ser>
        <c:ser>
          <c:idx val="2"/>
          <c:order val="2"/>
          <c:tx>
            <c:strRef>
              <c:f>Economics!P4</c:f>
              <c:strCache>
                <c:ptCount val="1"/>
                <c:pt idx="0">
                  <c:v>Demand (units/wk)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Economics!$A$5:$A$16</c:f>
              <c:strCache>
                <c:ptCount val="12"/>
                <c:pt idx="0">
                  <c:v>C0</c:v>
                </c:pt>
                <c:pt idx="1">
                  <c:v>C1</c:v>
                </c:pt>
                <c:pt idx="2">
                  <c:v>C2</c:v>
                </c:pt>
                <c:pt idx="3">
                  <c:v>C3</c:v>
                </c:pt>
                <c:pt idx="4">
                  <c:v>C4</c:v>
                </c:pt>
                <c:pt idx="5">
                  <c:v>C5</c:v>
                </c:pt>
                <c:pt idx="6">
                  <c:v>C6</c:v>
                </c:pt>
                <c:pt idx="7">
                  <c:v>C7</c:v>
                </c:pt>
                <c:pt idx="8">
                  <c:v>C8</c:v>
                </c:pt>
                <c:pt idx="9">
                  <c:v>C9</c:v>
                </c:pt>
                <c:pt idx="10">
                  <c:v>C10</c:v>
                </c:pt>
                <c:pt idx="11">
                  <c:v>C11</c:v>
                </c:pt>
              </c:strCache>
            </c:strRef>
          </c:cat>
          <c:val>
            <c:numRef>
              <c:f>Economics!$P$5:$P$16</c:f>
              <c:numCache>
                <c:formatCode>#,##0;\(#,##0\);\-</c:formatCode>
                <c:ptCount val="12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</c:numCache>
            </c:numRef>
          </c:val>
        </c:ser>
        <c:gapWidth val="60"/>
        <c:overlap val="0"/>
        <c:axId val="87678663"/>
        <c:axId val="17327908"/>
      </c:barChart>
      <c:catAx>
        <c:axId val="87678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27908"/>
        <c:crosses val="autoZero"/>
        <c:auto val="1"/>
        <c:lblAlgn val="ctr"/>
        <c:lblOffset val="100"/>
        <c:noMultiLvlLbl val="0"/>
      </c:catAx>
      <c:valAx>
        <c:axId val="17327908"/>
        <c:scaling>
          <c:orientation val="minMax"/>
          <c:max val="10500"/>
          <c:min val="8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786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annual benefit by scenario (USD per module)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Economics!K4</c:f>
              <c:strCache>
                <c:ptCount val="1"/>
                <c:pt idx="0">
                  <c:v>Net annual benefit (USD)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Economics!$A$5:$A$16</c:f>
              <c:strCache>
                <c:ptCount val="12"/>
                <c:pt idx="0">
                  <c:v>C0</c:v>
                </c:pt>
                <c:pt idx="1">
                  <c:v>C1</c:v>
                </c:pt>
                <c:pt idx="2">
                  <c:v>C2</c:v>
                </c:pt>
                <c:pt idx="3">
                  <c:v>C3</c:v>
                </c:pt>
                <c:pt idx="4">
                  <c:v>C4</c:v>
                </c:pt>
                <c:pt idx="5">
                  <c:v>C5</c:v>
                </c:pt>
                <c:pt idx="6">
                  <c:v>C6</c:v>
                </c:pt>
                <c:pt idx="7">
                  <c:v>C7</c:v>
                </c:pt>
                <c:pt idx="8">
                  <c:v>C8</c:v>
                </c:pt>
                <c:pt idx="9">
                  <c:v>C9</c:v>
                </c:pt>
                <c:pt idx="10">
                  <c:v>C10</c:v>
                </c:pt>
                <c:pt idx="11">
                  <c:v>C11</c:v>
                </c:pt>
              </c:strCache>
            </c:strRef>
          </c:cat>
          <c:val>
            <c:numRef>
              <c:f>Economics!$K$5:$K$16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-3366.91333333346</c:v>
                </c:pt>
                <c:pt idx="2">
                  <c:v>-16716.4166666667</c:v>
                </c:pt>
                <c:pt idx="3">
                  <c:v>159788.356666667</c:v>
                </c:pt>
                <c:pt idx="4">
                  <c:v>56177.4699999999</c:v>
                </c:pt>
                <c:pt idx="5">
                  <c:v>-61790.9400000001</c:v>
                </c:pt>
                <c:pt idx="6">
                  <c:v>6848.55666666672</c:v>
                </c:pt>
                <c:pt idx="7">
                  <c:v>156169.593333333</c:v>
                </c:pt>
                <c:pt idx="8">
                  <c:v>93532.5266666666</c:v>
                </c:pt>
                <c:pt idx="9">
                  <c:v>123309.8</c:v>
                </c:pt>
                <c:pt idx="10">
                  <c:v>-65124.2733333334</c:v>
                </c:pt>
                <c:pt idx="11">
                  <c:v>-303356.866666667</c:v>
                </c:pt>
              </c:numCache>
            </c:numRef>
          </c:val>
        </c:ser>
        <c:gapWidth val="50"/>
        <c:overlap val="0"/>
        <c:axId val="8600475"/>
        <c:axId val="32962244"/>
      </c:barChart>
      <c:catAx>
        <c:axId val="86004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62244"/>
        <c:crosses val="autoZero"/>
        <c:auto val="1"/>
        <c:lblAlgn val="ctr"/>
        <c:lblOffset val="100"/>
        <c:noMultiLvlLbl val="0"/>
      </c:catAx>
      <c:valAx>
        <c:axId val="329622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04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DBR rope size: good units per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SimResults!D19</c:f>
              <c:strCache>
                <c:ptCount val="1"/>
                <c:pt idx="0">
                  <c:v>Good units/wk (mean)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SimResults!$B$20:$B$25</c:f>
              <c:strCache>
                <c:ptCount val="6"/>
                <c:pt idx="0">
                  <c:v>150</c:v>
                </c:pt>
                <c:pt idx="1">
                  <c:v>250</c:v>
                </c:pt>
                <c:pt idx="2">
                  <c:v>400</c:v>
                </c:pt>
                <c:pt idx="3">
                  <c:v>600</c:v>
                </c:pt>
                <c:pt idx="4">
                  <c:v>900</c:v>
                </c:pt>
                <c:pt idx="5">
                  <c:v>1,500</c:v>
                </c:pt>
              </c:strCache>
            </c:strRef>
          </c:cat>
          <c:val>
            <c:numRef>
              <c:f>SimResults!$D$20:$D$25</c:f>
              <c:numCache>
                <c:formatCode>#,##0;\(#,##0\);\-</c:formatCode>
                <c:ptCount val="6"/>
                <c:pt idx="0">
                  <c:v>8033.6</c:v>
                </c:pt>
                <c:pt idx="1">
                  <c:v>8895.2</c:v>
                </c:pt>
                <c:pt idx="2">
                  <c:v>8946.6</c:v>
                </c:pt>
                <c:pt idx="3">
                  <c:v>8946.5</c:v>
                </c:pt>
                <c:pt idx="4">
                  <c:v>8946.5</c:v>
                </c:pt>
                <c:pt idx="5">
                  <c:v>8946.5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381010"/>
        <c:axId val="46391078"/>
      </c:lineChart>
      <c:catAx>
        <c:axId val="573810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Rope (units ahead of constraint)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91078"/>
        <c:crosses val="autoZero"/>
        <c:auto val="1"/>
        <c:lblAlgn val="ctr"/>
        <c:lblOffset val="100"/>
        <c:noMultiLvlLbl val="0"/>
      </c:catAx>
      <c:valAx>
        <c:axId val="46391078"/>
        <c:scaling>
          <c:orientation val="minMax"/>
          <c:max val="9200"/>
          <c:min val="78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810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WIP by scenario (units, simulated)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SimResults!G4</c:f>
              <c:strCache>
                <c:ptCount val="1"/>
                <c:pt idx="0">
                  <c:v>Avg WIP (units)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SimResults!$A$5:$A$16</c:f>
              <c:strCache>
                <c:ptCount val="12"/>
                <c:pt idx="0">
                  <c:v>C0</c:v>
                </c:pt>
                <c:pt idx="1">
                  <c:v>C1</c:v>
                </c:pt>
                <c:pt idx="2">
                  <c:v>C2</c:v>
                </c:pt>
                <c:pt idx="3">
                  <c:v>C3</c:v>
                </c:pt>
                <c:pt idx="4">
                  <c:v>C4</c:v>
                </c:pt>
                <c:pt idx="5">
                  <c:v>C5</c:v>
                </c:pt>
                <c:pt idx="6">
                  <c:v>C6</c:v>
                </c:pt>
                <c:pt idx="7">
                  <c:v>C7</c:v>
                </c:pt>
                <c:pt idx="8">
                  <c:v>C8</c:v>
                </c:pt>
                <c:pt idx="9">
                  <c:v>C9</c:v>
                </c:pt>
                <c:pt idx="10">
                  <c:v>C10</c:v>
                </c:pt>
                <c:pt idx="11">
                  <c:v>C11</c:v>
                </c:pt>
              </c:strCache>
            </c:strRef>
          </c:cat>
          <c:val>
            <c:numRef>
              <c:f>SimResults!$G$5:$G$16</c:f>
              <c:numCache>
                <c:formatCode>#,##0;\(#,##0\);\-</c:formatCode>
                <c:ptCount val="12"/>
                <c:pt idx="0">
                  <c:v>6268.9</c:v>
                </c:pt>
                <c:pt idx="1">
                  <c:v>495</c:v>
                </c:pt>
                <c:pt idx="2">
                  <c:v>4505.6</c:v>
                </c:pt>
                <c:pt idx="3">
                  <c:v>605.8</c:v>
                </c:pt>
                <c:pt idx="4">
                  <c:v>394.8</c:v>
                </c:pt>
                <c:pt idx="5">
                  <c:v>331.4</c:v>
                </c:pt>
                <c:pt idx="6">
                  <c:v>4643.9</c:v>
                </c:pt>
                <c:pt idx="7">
                  <c:v>546.3</c:v>
                </c:pt>
                <c:pt idx="8">
                  <c:v>396</c:v>
                </c:pt>
                <c:pt idx="9">
                  <c:v>365.5</c:v>
                </c:pt>
                <c:pt idx="10">
                  <c:v>331.4</c:v>
                </c:pt>
                <c:pt idx="11">
                  <c:v>276.4</c:v>
                </c:pt>
              </c:numCache>
            </c:numRef>
          </c:val>
        </c:ser>
        <c:gapWidth val="50"/>
        <c:overlap val="0"/>
        <c:axId val="86139651"/>
        <c:axId val="88013634"/>
      </c:barChart>
      <c:catAx>
        <c:axId val="861396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13634"/>
        <c:crosses val="autoZero"/>
        <c:auto val="1"/>
        <c:lblAlgn val="ctr"/>
        <c:lblOffset val="100"/>
        <c:noMultiLvlLbl val="0"/>
      </c:catAx>
      <c:valAx>
        <c:axId val="880136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396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160920</xdr:rowOff>
    </xdr:from>
    <xdr:to>
      <xdr:col>14</xdr:col>
      <xdr:colOff>473040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711900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21</xdr:row>
      <xdr:rowOff>160920</xdr:rowOff>
    </xdr:from>
    <xdr:to>
      <xdr:col>14</xdr:col>
      <xdr:colOff>473040</xdr:colOff>
      <xdr:row>38</xdr:row>
      <xdr:rowOff>162000</xdr:rowOff>
    </xdr:to>
    <xdr:graphicFrame>
      <xdr:nvGraphicFramePr>
        <xdr:cNvPr id="1" name="Chart 2"/>
        <xdr:cNvGraphicFramePr/>
      </xdr:nvGraphicFramePr>
      <xdr:xfrm>
        <a:off x="7119000" y="419112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40</xdr:row>
      <xdr:rowOff>160560</xdr:rowOff>
    </xdr:from>
    <xdr:to>
      <xdr:col>14</xdr:col>
      <xdr:colOff>473040</xdr:colOff>
      <xdr:row>57</xdr:row>
      <xdr:rowOff>162000</xdr:rowOff>
    </xdr:to>
    <xdr:graphicFrame>
      <xdr:nvGraphicFramePr>
        <xdr:cNvPr id="2" name="Chart 3"/>
        <xdr:cNvGraphicFramePr/>
      </xdr:nvGraphicFramePr>
      <xdr:xfrm>
        <a:off x="7119000" y="78105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59</xdr:row>
      <xdr:rowOff>160560</xdr:rowOff>
    </xdr:from>
    <xdr:to>
      <xdr:col>14</xdr:col>
      <xdr:colOff>473040</xdr:colOff>
      <xdr:row>76</xdr:row>
      <xdr:rowOff>161640</xdr:rowOff>
    </xdr:to>
    <xdr:graphicFrame>
      <xdr:nvGraphicFramePr>
        <xdr:cNvPr id="3" name="Chart 4"/>
        <xdr:cNvGraphicFramePr/>
      </xdr:nvGraphicFramePr>
      <xdr:xfrm>
        <a:off x="7119000" y="1143000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0</xdr:colOff>
      <xdr:row>78</xdr:row>
      <xdr:rowOff>160560</xdr:rowOff>
    </xdr:from>
    <xdr:to>
      <xdr:col>14</xdr:col>
      <xdr:colOff>473040</xdr:colOff>
      <xdr:row>95</xdr:row>
      <xdr:rowOff>161640</xdr:rowOff>
    </xdr:to>
    <xdr:graphicFrame>
      <xdr:nvGraphicFramePr>
        <xdr:cNvPr id="4" name="Chart 5"/>
        <xdr:cNvGraphicFramePr/>
      </xdr:nvGraphicFramePr>
      <xdr:xfrm>
        <a:off x="7119000" y="15049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1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5.75" hidden="false" customHeight="true" outlineLevel="0" collapsed="false">
      <c r="B5" s="3" t="s">
        <v>2</v>
      </c>
      <c r="C5" s="4" t="s">
        <v>3</v>
      </c>
    </row>
    <row r="6" customFormat="false" ht="45.75" hidden="false" customHeight="true" outlineLevel="0" collapsed="false">
      <c r="B6" s="3" t="s">
        <v>4</v>
      </c>
      <c r="C6" s="4" t="s">
        <v>5</v>
      </c>
    </row>
    <row r="7" customFormat="false" ht="61.5" hidden="false" customHeight="true" outlineLevel="0" collapsed="false">
      <c r="B7" s="3" t="s">
        <v>6</v>
      </c>
      <c r="C7" s="4" t="s">
        <v>7</v>
      </c>
    </row>
    <row r="8" customFormat="false" ht="61.5" hidden="false" customHeight="true" outlineLevel="0" collapsed="false">
      <c r="B8" s="3" t="s">
        <v>8</v>
      </c>
      <c r="C8" s="4" t="s">
        <v>9</v>
      </c>
    </row>
    <row r="9" customFormat="false" ht="45.75" hidden="false" customHeight="true" outlineLevel="0" collapsed="false">
      <c r="B9" s="3" t="s">
        <v>10</v>
      </c>
      <c r="C9" s="4" t="s">
        <v>11</v>
      </c>
    </row>
    <row r="10" customFormat="false" ht="61.5" hidden="false" customHeight="true" outlineLevel="0" collapsed="false">
      <c r="B10" s="3" t="s">
        <v>12</v>
      </c>
      <c r="C10" s="4" t="s">
        <v>13</v>
      </c>
    </row>
    <row r="11" customFormat="false" ht="45.75" hidden="false" customHeight="true" outlineLevel="0" collapsed="false">
      <c r="B11" s="3" t="s">
        <v>14</v>
      </c>
      <c r="C11" s="4" t="s">
        <v>15</v>
      </c>
    </row>
    <row r="12" customFormat="false" ht="61.5" hidden="false" customHeight="true" outlineLevel="0" collapsed="false">
      <c r="B12" s="3" t="s">
        <v>16</v>
      </c>
      <c r="C12" s="4" t="s">
        <v>17</v>
      </c>
    </row>
    <row r="13" customFormat="false" ht="61.5" hidden="false" customHeight="true" outlineLevel="0" collapsed="false">
      <c r="B13" s="3" t="s">
        <v>18</v>
      </c>
      <c r="C13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40"/>
    <col collapsed="false" customWidth="true" hidden="false" outlineLevel="0" max="3" min="3" style="0" width="3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15" hidden="false" customHeight="false" outlineLevel="0" collapsed="false">
      <c r="A4" s="5" t="s">
        <v>22</v>
      </c>
      <c r="B4" s="6"/>
    </row>
    <row r="5" customFormat="false" ht="15" hidden="false" customHeight="false" outlineLevel="0" collapsed="false">
      <c r="A5" s="7" t="s">
        <v>23</v>
      </c>
      <c r="B5" s="8" t="str">
        <f aca="false">BaseAnalysis!D19</f>
        <v>Anodising (rack batch)</v>
      </c>
    </row>
    <row r="6" customFormat="false" ht="15" hidden="false" customHeight="false" outlineLevel="0" collapsed="false">
      <c r="A6" s="7" t="s">
        <v>24</v>
      </c>
      <c r="B6" s="9" t="n">
        <f aca="false">BaseAnalysis!D20</f>
        <v>8932.08561213046</v>
      </c>
    </row>
    <row r="7" customFormat="false" ht="15" hidden="false" customHeight="false" outlineLevel="0" collapsed="false">
      <c r="A7" s="7" t="s">
        <v>25</v>
      </c>
      <c r="B7" s="10" t="n">
        <f aca="false">BaseAnalysis!D22</f>
        <v>0.893208561213046</v>
      </c>
    </row>
    <row r="8" customFormat="false" ht="15" hidden="false" customHeight="false" outlineLevel="0" collapsed="false">
      <c r="A8" s="7" t="s">
        <v>26</v>
      </c>
      <c r="B8" s="9" t="n">
        <f aca="false">SimResults!D5</f>
        <v>8938</v>
      </c>
    </row>
    <row r="9" customFormat="false" ht="15" hidden="false" customHeight="false" outlineLevel="0" collapsed="false">
      <c r="A9" s="7" t="s">
        <v>27</v>
      </c>
      <c r="B9" s="10" t="n">
        <f aca="false">BaseAnalysis!D23</f>
        <v>0.84165</v>
      </c>
    </row>
    <row r="10" customFormat="false" ht="15" hidden="false" customHeight="false" outlineLevel="0" collapsed="false">
      <c r="A10" s="7" t="s">
        <v>28</v>
      </c>
      <c r="B10" s="11" t="n">
        <f aca="false">BaseAnalysis!D16*60</f>
        <v>34.56</v>
      </c>
    </row>
    <row r="11" customFormat="false" ht="15" hidden="false" customHeight="false" outlineLevel="0" collapsed="false">
      <c r="A11" s="7" t="s">
        <v>29</v>
      </c>
      <c r="B11" s="8" t="str">
        <f aca="false">BaseAnalysis!D24</f>
        <v>CNC OP20 finish</v>
      </c>
    </row>
    <row r="13" customFormat="false" ht="15" hidden="false" customHeight="false" outlineLevel="0" collapsed="false">
      <c r="A13" s="5" t="s">
        <v>30</v>
      </c>
      <c r="B13" s="6"/>
    </row>
    <row r="14" customFormat="false" ht="15" hidden="false" customHeight="false" outlineLevel="0" collapsed="false">
      <c r="A14" s="7" t="s">
        <v>31</v>
      </c>
      <c r="B14" s="10" t="n">
        <f aca="false">-Economics!M6</f>
        <v>0.921038778733111</v>
      </c>
    </row>
    <row r="15" customFormat="false" ht="15" hidden="false" customHeight="false" outlineLevel="0" collapsed="false">
      <c r="A15" s="7" t="s">
        <v>32</v>
      </c>
      <c r="B15" s="11" t="n">
        <f aca="false">SimResults!H5</f>
        <v>67.36</v>
      </c>
    </row>
    <row r="16" customFormat="false" ht="15" hidden="false" customHeight="false" outlineLevel="0" collapsed="false">
      <c r="A16" s="7" t="s">
        <v>33</v>
      </c>
      <c r="B16" s="11" t="n">
        <f aca="false">SimResults!H6</f>
        <v>5.32</v>
      </c>
    </row>
    <row r="17" customFormat="false" ht="15" hidden="false" customHeight="false" outlineLevel="0" collapsed="false">
      <c r="A17" s="7" t="s">
        <v>34</v>
      </c>
      <c r="B17" s="9" t="n">
        <f aca="false">Economics!C8</f>
        <v>9969.1</v>
      </c>
    </row>
    <row r="18" customFormat="false" ht="15" hidden="false" customHeight="false" outlineLevel="0" collapsed="false">
      <c r="A18" s="7" t="s">
        <v>35</v>
      </c>
      <c r="B18" s="12" t="n">
        <f aca="false">Economics!K8</f>
        <v>159788.356666667</v>
      </c>
    </row>
    <row r="20" customFormat="false" ht="15" hidden="false" customHeight="false" outlineLevel="0" collapsed="false">
      <c r="A20" s="5" t="s">
        <v>36</v>
      </c>
      <c r="B20" s="6"/>
    </row>
    <row r="21" customFormat="false" ht="15" hidden="false" customHeight="false" outlineLevel="0" collapsed="false">
      <c r="A21" s="7" t="s">
        <v>37</v>
      </c>
      <c r="B21" s="8" t="str">
        <f aca="false">INDEX(Economics!B5:B16,MATCH(1,Economics!Q5:Q16,0))</f>
        <v>SMED: rack batch 52 to 46 min</v>
      </c>
    </row>
    <row r="22" customFormat="false" ht="15" hidden="false" customHeight="false" outlineLevel="0" collapsed="false">
      <c r="A22" s="7" t="s">
        <v>38</v>
      </c>
      <c r="B22" s="12" t="n">
        <f aca="false">INDEX(Economics!K5:K16,MATCH(1,Economics!Q5:Q16,0))</f>
        <v>159788.356666667</v>
      </c>
    </row>
    <row r="23" customFormat="false" ht="15" hidden="false" customHeight="false" outlineLevel="0" collapsed="false">
      <c r="A23" s="7" t="s">
        <v>39</v>
      </c>
      <c r="B23" s="12" t="n">
        <f aca="false">Economics!K12</f>
        <v>156169.593333333</v>
      </c>
    </row>
    <row r="24" customFormat="false" ht="15" hidden="false" customHeight="false" outlineLevel="0" collapsed="false">
      <c r="A24" s="7" t="s">
        <v>40</v>
      </c>
      <c r="B24" s="12" t="n">
        <f aca="false">Economics!K15</f>
        <v>-65124.2733333334</v>
      </c>
    </row>
    <row r="25" customFormat="false" ht="15" hidden="false" customHeight="false" outlineLevel="0" collapsed="false">
      <c r="A25" s="7" t="s">
        <v>41</v>
      </c>
      <c r="B25" s="8" t="str">
        <f aca="false">Fixes!X12</f>
        <v>Anodising (rack batch)</v>
      </c>
    </row>
    <row r="26" customFormat="false" ht="15" hidden="false" customHeight="false" outlineLevel="0" collapsed="false">
      <c r="A26" s="7" t="s">
        <v>42</v>
      </c>
      <c r="B26" s="10" t="n">
        <f aca="false">Fixes!AC12</f>
        <v>0.00971402571909574</v>
      </c>
    </row>
    <row r="27" customFormat="false" ht="15" hidden="false" customHeight="false" outlineLevel="0" collapsed="false">
      <c r="A27" s="7" t="s">
        <v>43</v>
      </c>
      <c r="B27" s="12" t="n">
        <f aca="false">Economics!R12</f>
        <v>1561695.93333333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3"/>
    <col collapsed="false" customWidth="true" hidden="false" outlineLevel="0" max="10" min="9" style="0" width="11"/>
    <col collapsed="false" customWidth="true" hidden="false" outlineLevel="0" max="11" min="11" style="0" width="70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A4" s="5" t="s">
        <v>46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customFormat="false" ht="15" hidden="false" customHeight="false" outlineLevel="0" collapsed="false">
      <c r="A5" s="7" t="s">
        <v>47</v>
      </c>
      <c r="B5" s="13" t="n">
        <v>96</v>
      </c>
      <c r="C5" s="7" t="s">
        <v>48</v>
      </c>
      <c r="K5" s="4" t="s">
        <v>49</v>
      </c>
    </row>
    <row r="6" customFormat="false" ht="15" hidden="false" customHeight="false" outlineLevel="0" collapsed="false">
      <c r="A6" s="7" t="s">
        <v>50</v>
      </c>
      <c r="B6" s="14" t="n">
        <f aca="false">B5*60</f>
        <v>5760</v>
      </c>
      <c r="C6" s="7" t="s">
        <v>51</v>
      </c>
      <c r="K6" s="4" t="s">
        <v>52</v>
      </c>
    </row>
    <row r="7" customFormat="false" ht="15" hidden="false" customHeight="false" outlineLevel="0" collapsed="false">
      <c r="A7" s="7" t="s">
        <v>53</v>
      </c>
      <c r="B7" s="15" t="n">
        <v>10000</v>
      </c>
      <c r="C7" s="7" t="s">
        <v>54</v>
      </c>
      <c r="K7" s="4" t="s">
        <v>55</v>
      </c>
    </row>
    <row r="8" customFormat="false" ht="15" hidden="false" customHeight="false" outlineLevel="0" collapsed="false">
      <c r="A8" s="7" t="s">
        <v>56</v>
      </c>
      <c r="B8" s="13" t="n">
        <v>50</v>
      </c>
      <c r="C8" s="7" t="s">
        <v>57</v>
      </c>
      <c r="K8" s="4" t="s">
        <v>58</v>
      </c>
    </row>
    <row r="9" customFormat="false" ht="15" hidden="false" customHeight="false" outlineLevel="0" collapsed="false">
      <c r="A9" s="7" t="s">
        <v>59</v>
      </c>
      <c r="B9" s="13" t="n">
        <v>48</v>
      </c>
      <c r="C9" s="7" t="s">
        <v>60</v>
      </c>
      <c r="K9" s="4" t="s">
        <v>61</v>
      </c>
    </row>
    <row r="10" customFormat="false" ht="15" hidden="false" customHeight="false" outlineLevel="0" collapsed="false">
      <c r="A10" s="7" t="s">
        <v>62</v>
      </c>
      <c r="B10" s="16" t="n">
        <v>4.161</v>
      </c>
      <c r="C10" s="7" t="s">
        <v>63</v>
      </c>
      <c r="K10" s="4" t="s">
        <v>64</v>
      </c>
    </row>
    <row r="11" customFormat="false" ht="15" hidden="false" customHeight="false" outlineLevel="0" collapsed="false">
      <c r="A11" s="7" t="s">
        <v>65</v>
      </c>
      <c r="B11" s="16" t="n">
        <v>0.203</v>
      </c>
      <c r="C11" s="7" t="s">
        <v>63</v>
      </c>
      <c r="K11" s="4" t="s">
        <v>66</v>
      </c>
    </row>
    <row r="12" customFormat="false" ht="15" hidden="false" customHeight="false" outlineLevel="0" collapsed="false">
      <c r="A12" s="7" t="s">
        <v>67</v>
      </c>
      <c r="B12" s="17" t="n">
        <v>0.6</v>
      </c>
      <c r="C12" s="7" t="s">
        <v>63</v>
      </c>
      <c r="K12" s="4" t="s">
        <v>68</v>
      </c>
    </row>
    <row r="13" customFormat="false" ht="15" hidden="false" customHeight="false" outlineLevel="0" collapsed="false">
      <c r="A13" s="7" t="s">
        <v>69</v>
      </c>
      <c r="B13" s="18" t="n">
        <f aca="false">B10-B11-B12</f>
        <v>3.358</v>
      </c>
      <c r="C13" s="7" t="s">
        <v>63</v>
      </c>
      <c r="K13" s="4" t="s">
        <v>70</v>
      </c>
    </row>
    <row r="14" customFormat="false" ht="15" hidden="false" customHeight="false" outlineLevel="0" collapsed="false">
      <c r="A14" s="7" t="s">
        <v>71</v>
      </c>
      <c r="B14" s="13" t="n">
        <v>3</v>
      </c>
      <c r="C14" s="7" t="s">
        <v>72</v>
      </c>
      <c r="K14" s="4" t="s">
        <v>58</v>
      </c>
    </row>
    <row r="15" customFormat="false" ht="15" hidden="false" customHeight="false" outlineLevel="0" collapsed="false">
      <c r="A15" s="7" t="s">
        <v>73</v>
      </c>
      <c r="B15" s="13" t="n">
        <v>10</v>
      </c>
      <c r="C15" s="7" t="s">
        <v>74</v>
      </c>
      <c r="K15" s="4" t="s">
        <v>75</v>
      </c>
    </row>
    <row r="17" customFormat="false" ht="15" hidden="false" customHeight="false" outlineLevel="0" collapsed="false">
      <c r="A17" s="5" t="s">
        <v>76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customFormat="false" ht="43.5" hidden="false" customHeight="true" outlineLevel="0" collapsed="false">
      <c r="A18" s="19" t="s">
        <v>77</v>
      </c>
      <c r="B18" s="19" t="s">
        <v>78</v>
      </c>
      <c r="C18" s="19" t="s">
        <v>79</v>
      </c>
      <c r="D18" s="19" t="s">
        <v>80</v>
      </c>
      <c r="E18" s="19" t="s">
        <v>81</v>
      </c>
      <c r="F18" s="19" t="s">
        <v>82</v>
      </c>
      <c r="G18" s="19" t="s">
        <v>83</v>
      </c>
      <c r="H18" s="19" t="s">
        <v>84</v>
      </c>
      <c r="I18" s="19" t="s">
        <v>85</v>
      </c>
      <c r="J18" s="19" t="s">
        <v>86</v>
      </c>
      <c r="K18" s="19" t="s">
        <v>87</v>
      </c>
    </row>
    <row r="19" customFormat="false" ht="15" hidden="false" customHeight="false" outlineLevel="0" collapsed="false">
      <c r="A19" s="20" t="n">
        <v>1</v>
      </c>
      <c r="B19" s="21" t="s">
        <v>88</v>
      </c>
      <c r="C19" s="7" t="s">
        <v>89</v>
      </c>
      <c r="D19" s="22" t="n">
        <v>1</v>
      </c>
      <c r="E19" s="23" t="n">
        <v>0.3</v>
      </c>
      <c r="F19" s="7"/>
      <c r="G19" s="24" t="n">
        <v>0.92</v>
      </c>
      <c r="H19" s="24" t="n">
        <v>0.95</v>
      </c>
      <c r="I19" s="24" t="n">
        <v>0.995</v>
      </c>
      <c r="J19" s="25" t="n">
        <v>20</v>
      </c>
      <c r="K19" s="4" t="s">
        <v>90</v>
      </c>
    </row>
    <row r="20" customFormat="false" ht="15" hidden="false" customHeight="false" outlineLevel="0" collapsed="false">
      <c r="A20" s="20" t="n">
        <v>2</v>
      </c>
      <c r="B20" s="21" t="s">
        <v>91</v>
      </c>
      <c r="C20" s="7" t="s">
        <v>89</v>
      </c>
      <c r="D20" s="22" t="n">
        <v>7</v>
      </c>
      <c r="E20" s="23" t="n">
        <v>2.6</v>
      </c>
      <c r="F20" s="7"/>
      <c r="G20" s="24" t="n">
        <v>0.9</v>
      </c>
      <c r="H20" s="24" t="n">
        <v>0.92</v>
      </c>
      <c r="I20" s="24" t="n">
        <v>0.99</v>
      </c>
      <c r="J20" s="25" t="n">
        <v>25</v>
      </c>
      <c r="K20" s="4" t="s">
        <v>92</v>
      </c>
    </row>
    <row r="21" customFormat="false" ht="15" hidden="false" customHeight="false" outlineLevel="0" collapsed="false">
      <c r="A21" s="20" t="n">
        <v>3</v>
      </c>
      <c r="B21" s="21" t="s">
        <v>93</v>
      </c>
      <c r="C21" s="7" t="s">
        <v>89</v>
      </c>
      <c r="D21" s="22" t="n">
        <v>9</v>
      </c>
      <c r="E21" s="23" t="n">
        <v>3.4</v>
      </c>
      <c r="F21" s="7"/>
      <c r="G21" s="24" t="n">
        <v>0.9</v>
      </c>
      <c r="H21" s="24" t="n">
        <v>0.92</v>
      </c>
      <c r="I21" s="24" t="n">
        <v>0.975</v>
      </c>
      <c r="J21" s="25" t="n">
        <v>25</v>
      </c>
      <c r="K21" s="4" t="s">
        <v>94</v>
      </c>
    </row>
    <row r="22" customFormat="false" ht="15" hidden="false" customHeight="false" outlineLevel="0" collapsed="false">
      <c r="A22" s="20" t="n">
        <v>4</v>
      </c>
      <c r="B22" s="21" t="s">
        <v>95</v>
      </c>
      <c r="C22" s="7" t="s">
        <v>89</v>
      </c>
      <c r="D22" s="22" t="n">
        <v>5</v>
      </c>
      <c r="E22" s="23" t="n">
        <v>1.8</v>
      </c>
      <c r="F22" s="7"/>
      <c r="G22" s="24" t="n">
        <v>0.95</v>
      </c>
      <c r="H22" s="24" t="n">
        <v>0.9</v>
      </c>
      <c r="I22" s="24" t="n">
        <v>0.99</v>
      </c>
      <c r="J22" s="25" t="n">
        <v>15</v>
      </c>
      <c r="K22" s="4" t="s">
        <v>96</v>
      </c>
    </row>
    <row r="23" customFormat="false" ht="23.85" hidden="false" customHeight="false" outlineLevel="0" collapsed="false">
      <c r="A23" s="20" t="n">
        <v>5</v>
      </c>
      <c r="B23" s="21" t="s">
        <v>97</v>
      </c>
      <c r="C23" s="7" t="s">
        <v>98</v>
      </c>
      <c r="D23" s="22" t="n">
        <v>2</v>
      </c>
      <c r="E23" s="26" t="n">
        <f aca="false">F23/$B$9</f>
        <v>1.08333333333333</v>
      </c>
      <c r="F23" s="27" t="n">
        <v>52</v>
      </c>
      <c r="G23" s="24" t="n">
        <v>0.93</v>
      </c>
      <c r="H23" s="24" t="n">
        <v>1</v>
      </c>
      <c r="I23" s="24" t="n">
        <v>0.905</v>
      </c>
      <c r="J23" s="25" t="n">
        <v>40</v>
      </c>
      <c r="K23" s="4" t="s">
        <v>99</v>
      </c>
    </row>
    <row r="24" customFormat="false" ht="15" hidden="false" customHeight="false" outlineLevel="0" collapsed="false">
      <c r="A24" s="20" t="n">
        <v>6</v>
      </c>
      <c r="B24" s="21" t="s">
        <v>100</v>
      </c>
      <c r="C24" s="7" t="s">
        <v>89</v>
      </c>
      <c r="D24" s="22" t="n">
        <v>2</v>
      </c>
      <c r="E24" s="23" t="n">
        <v>0.85</v>
      </c>
      <c r="F24" s="7"/>
      <c r="G24" s="24" t="n">
        <v>0.96</v>
      </c>
      <c r="H24" s="24" t="n">
        <v>0.95</v>
      </c>
      <c r="I24" s="24" t="n">
        <v>0.999</v>
      </c>
      <c r="J24" s="25" t="n">
        <v>10</v>
      </c>
      <c r="K24" s="4" t="s">
        <v>101</v>
      </c>
    </row>
    <row r="25" customFormat="false" ht="15" hidden="false" customHeight="false" outlineLevel="0" collapsed="false">
      <c r="A25" s="20" t="n">
        <v>7</v>
      </c>
      <c r="B25" s="21" t="s">
        <v>102</v>
      </c>
      <c r="C25" s="7" t="s">
        <v>89</v>
      </c>
      <c r="D25" s="22" t="n">
        <v>2</v>
      </c>
      <c r="E25" s="23" t="n">
        <v>0.5</v>
      </c>
      <c r="F25" s="7"/>
      <c r="G25" s="24" t="n">
        <v>0.97</v>
      </c>
      <c r="H25" s="24" t="n">
        <v>0.95</v>
      </c>
      <c r="I25" s="24" t="n">
        <v>0.999</v>
      </c>
      <c r="J25" s="25" t="n">
        <v>10</v>
      </c>
      <c r="K25" s="4" t="s">
        <v>103</v>
      </c>
    </row>
    <row r="27" customFormat="false" ht="15" hidden="false" customHeight="false" outlineLevel="0" collapsed="false">
      <c r="A27" s="5" t="s">
        <v>104</v>
      </c>
      <c r="B27" s="6"/>
      <c r="C27" s="6"/>
      <c r="D27" s="6"/>
      <c r="E27" s="6"/>
      <c r="F27" s="6"/>
      <c r="G27" s="6"/>
      <c r="H27" s="6"/>
      <c r="I27" s="6"/>
      <c r="J27" s="6"/>
      <c r="K27" s="6"/>
    </row>
    <row r="28" customFormat="false" ht="36" hidden="false" customHeight="true" outlineLevel="0" collapsed="false">
      <c r="A28" s="19" t="s">
        <v>105</v>
      </c>
      <c r="B28" s="19" t="s">
        <v>106</v>
      </c>
      <c r="C28" s="19" t="s">
        <v>107</v>
      </c>
      <c r="D28" s="19" t="s">
        <v>108</v>
      </c>
      <c r="E28" s="19" t="s">
        <v>109</v>
      </c>
      <c r="F28" s="19" t="s">
        <v>110</v>
      </c>
      <c r="G28" s="19"/>
      <c r="H28" s="19"/>
      <c r="I28" s="19"/>
      <c r="J28" s="19"/>
      <c r="K28" s="19" t="s">
        <v>111</v>
      </c>
    </row>
    <row r="29" customFormat="false" ht="30" hidden="false" customHeight="true" outlineLevel="0" collapsed="false">
      <c r="A29" s="21" t="s">
        <v>112</v>
      </c>
      <c r="B29" s="7" t="s">
        <v>113</v>
      </c>
      <c r="C29" s="22" t="n">
        <v>400</v>
      </c>
      <c r="D29" s="7" t="s">
        <v>114</v>
      </c>
      <c r="E29" s="28" t="n">
        <v>10000</v>
      </c>
      <c r="F29" s="28" t="n">
        <v>0</v>
      </c>
      <c r="K29" s="4" t="s">
        <v>115</v>
      </c>
    </row>
    <row r="30" customFormat="false" ht="30" hidden="false" customHeight="true" outlineLevel="0" collapsed="false">
      <c r="A30" s="21" t="s">
        <v>116</v>
      </c>
      <c r="B30" s="7" t="s">
        <v>117</v>
      </c>
      <c r="C30" s="24" t="n">
        <v>0.935</v>
      </c>
      <c r="D30" s="7" t="s">
        <v>118</v>
      </c>
      <c r="E30" s="28" t="n">
        <v>20000</v>
      </c>
      <c r="F30" s="28" t="n">
        <v>60000</v>
      </c>
      <c r="K30" s="4" t="s">
        <v>119</v>
      </c>
    </row>
    <row r="31" customFormat="false" ht="30" hidden="false" customHeight="true" outlineLevel="0" collapsed="false">
      <c r="A31" s="21" t="s">
        <v>120</v>
      </c>
      <c r="B31" s="7" t="s">
        <v>121</v>
      </c>
      <c r="C31" s="22" t="n">
        <v>46</v>
      </c>
      <c r="D31" s="7" t="s">
        <v>122</v>
      </c>
      <c r="E31" s="28" t="n">
        <v>40000</v>
      </c>
      <c r="F31" s="28" t="n">
        <v>0</v>
      </c>
      <c r="K31" s="4" t="s">
        <v>123</v>
      </c>
    </row>
    <row r="32" customFormat="false" ht="30" hidden="false" customHeight="true" outlineLevel="0" collapsed="false">
      <c r="A32" s="21" t="s">
        <v>124</v>
      </c>
      <c r="B32" s="7" t="s">
        <v>125</v>
      </c>
      <c r="C32" s="29" t="n">
        <f aca="false">7/6</f>
        <v>1.16666666666667</v>
      </c>
      <c r="D32" s="7" t="s">
        <v>126</v>
      </c>
      <c r="E32" s="28" t="n">
        <v>0</v>
      </c>
      <c r="F32" s="28" t="n">
        <v>120000</v>
      </c>
      <c r="K32" s="4" t="s">
        <v>127</v>
      </c>
    </row>
    <row r="33" customFormat="false" ht="30" hidden="false" customHeight="true" outlineLevel="0" collapsed="false">
      <c r="A33" s="21" t="s">
        <v>128</v>
      </c>
      <c r="B33" s="7" t="s">
        <v>129</v>
      </c>
      <c r="C33" s="22" t="n">
        <v>3</v>
      </c>
      <c r="D33" s="7" t="s">
        <v>130</v>
      </c>
      <c r="E33" s="28" t="n">
        <v>450000</v>
      </c>
      <c r="F33" s="28" t="n">
        <v>90000</v>
      </c>
      <c r="K33" s="4" t="s">
        <v>131</v>
      </c>
    </row>
    <row r="34" customFormat="false" ht="30" hidden="false" customHeight="true" outlineLevel="0" collapsed="false">
      <c r="A34" s="21" t="s">
        <v>132</v>
      </c>
      <c r="B34" s="7" t="s">
        <v>133</v>
      </c>
      <c r="C34" s="24" t="n">
        <v>0.96</v>
      </c>
      <c r="D34" s="7" t="s">
        <v>134</v>
      </c>
      <c r="E34" s="28" t="n">
        <v>10000</v>
      </c>
      <c r="F34" s="28" t="n">
        <v>35000</v>
      </c>
      <c r="K34" s="4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1"/>
  </cols>
  <sheetData>
    <row r="1" customFormat="false" ht="17.3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4" customFormat="false" ht="57.75" hidden="false" customHeight="true" outlineLevel="0" collapsed="false">
      <c r="A4" s="19" t="s">
        <v>77</v>
      </c>
      <c r="B4" s="19" t="s">
        <v>78</v>
      </c>
      <c r="C4" s="19" t="s">
        <v>80</v>
      </c>
      <c r="D4" s="19" t="s">
        <v>138</v>
      </c>
      <c r="E4" s="19" t="s">
        <v>139</v>
      </c>
      <c r="F4" s="19" t="s">
        <v>140</v>
      </c>
      <c r="G4" s="19" t="s">
        <v>141</v>
      </c>
      <c r="H4" s="19" t="s">
        <v>142</v>
      </c>
      <c r="I4" s="19" t="s">
        <v>143</v>
      </c>
      <c r="J4" s="19" t="s">
        <v>144</v>
      </c>
      <c r="K4" s="19" t="s">
        <v>145</v>
      </c>
      <c r="L4" s="19" t="s">
        <v>146</v>
      </c>
      <c r="M4" s="19" t="s">
        <v>147</v>
      </c>
    </row>
    <row r="5" customFormat="false" ht="15" hidden="false" customHeight="false" outlineLevel="0" collapsed="false">
      <c r="A5" s="30" t="n">
        <f aca="false">Inputs!A19</f>
        <v>1</v>
      </c>
      <c r="B5" s="31" t="str">
        <f aca="false">Inputs!B19</f>
        <v>Blank saw</v>
      </c>
      <c r="C5" s="30" t="n">
        <f aca="false">Inputs!D19</f>
        <v>1</v>
      </c>
      <c r="D5" s="26" t="n">
        <v>1</v>
      </c>
      <c r="E5" s="32" t="n">
        <f aca="false">$D$15*D5</f>
        <v>11644.540580298</v>
      </c>
      <c r="F5" s="32" t="n">
        <f aca="false">C5*Inputs!$B$6*Inputs!G19*Inputs!H19/Inputs!E19</f>
        <v>16780.8</v>
      </c>
      <c r="G5" s="33" t="n">
        <f aca="false">E5/F5</f>
        <v>0.693920467456734</v>
      </c>
      <c r="H5" s="26" t="n">
        <f aca="false">Inputs!E19/(C5*Inputs!G19*Inputs!H19)</f>
        <v>0.34324942791762</v>
      </c>
      <c r="I5" s="26" t="n">
        <f aca="false">Inputs!$B$6/E5</f>
        <v>0.494652404728243</v>
      </c>
      <c r="J5" s="34" t="n">
        <f aca="false">Inputs!G19*Inputs!H19*Inputs!I19</f>
        <v>0.86963</v>
      </c>
      <c r="K5" s="32" t="n">
        <f aca="false">F5/D5</f>
        <v>16780.8</v>
      </c>
      <c r="L5" s="35" t="str">
        <f aca="false">IF(K5=MIN($K$5:$K$11),"CONSTRAINT","")</f>
        <v/>
      </c>
      <c r="M5" s="20" t="n">
        <f aca="false">RANK(G5,$G$5:$G$11,0)</f>
        <v>6</v>
      </c>
    </row>
    <row r="6" customFormat="false" ht="15" hidden="false" customHeight="false" outlineLevel="0" collapsed="false">
      <c r="A6" s="30" t="n">
        <f aca="false">Inputs!A20</f>
        <v>2</v>
      </c>
      <c r="B6" s="31" t="str">
        <f aca="false">Inputs!B20</f>
        <v>CNC OP10 rough</v>
      </c>
      <c r="C6" s="30" t="n">
        <f aca="false">Inputs!D20</f>
        <v>7</v>
      </c>
      <c r="D6" s="26" t="n">
        <f aca="false">D5*Inputs!I19</f>
        <v>0.995</v>
      </c>
      <c r="E6" s="32" t="n">
        <f aca="false">$D$15*D6</f>
        <v>11586.3178773965</v>
      </c>
      <c r="F6" s="32" t="n">
        <f aca="false">C6*Inputs!$B$6*Inputs!G20*Inputs!H20/Inputs!E20</f>
        <v>12840.3692307692</v>
      </c>
      <c r="G6" s="33" t="n">
        <f aca="false">E6/F6</f>
        <v>0.902335257589969</v>
      </c>
      <c r="H6" s="26" t="n">
        <f aca="false">Inputs!E20/(C6*Inputs!G20*Inputs!H20)</f>
        <v>0.448585231193927</v>
      </c>
      <c r="I6" s="26" t="n">
        <f aca="false">Inputs!$B$6/E6</f>
        <v>0.497138095204265</v>
      </c>
      <c r="J6" s="34" t="n">
        <f aca="false">Inputs!G20*Inputs!H20*Inputs!I20</f>
        <v>0.81972</v>
      </c>
      <c r="K6" s="32" t="n">
        <f aca="false">F6/D6</f>
        <v>12904.8936992656</v>
      </c>
      <c r="L6" s="35" t="str">
        <f aca="false">IF(K6=MIN($K$5:$K$11),"CONSTRAINT","")</f>
        <v/>
      </c>
      <c r="M6" s="20" t="n">
        <f aca="false">RANK(G6,$G$5:$G$11,0)</f>
        <v>3</v>
      </c>
    </row>
    <row r="7" customFormat="false" ht="15" hidden="false" customHeight="false" outlineLevel="0" collapsed="false">
      <c r="A7" s="30" t="n">
        <f aca="false">Inputs!A21</f>
        <v>3</v>
      </c>
      <c r="B7" s="31" t="str">
        <f aca="false">Inputs!B21</f>
        <v>CNC OP20 finish</v>
      </c>
      <c r="C7" s="30" t="n">
        <f aca="false">Inputs!D21</f>
        <v>9</v>
      </c>
      <c r="D7" s="26" t="n">
        <f aca="false">D6*Inputs!I20</f>
        <v>0.98505</v>
      </c>
      <c r="E7" s="32" t="n">
        <f aca="false">$D$15*D7</f>
        <v>11470.4546986225</v>
      </c>
      <c r="F7" s="32" t="n">
        <f aca="false">C7*Inputs!$B$6*Inputs!G21*Inputs!H21/Inputs!E21</f>
        <v>12624.5647058824</v>
      </c>
      <c r="G7" s="33" t="n">
        <f aca="false">E7/F7</f>
        <v>0.908582193988669</v>
      </c>
      <c r="H7" s="26" t="n">
        <f aca="false">Inputs!E21/(C7*Inputs!G21*Inputs!H21)</f>
        <v>0.456253354804079</v>
      </c>
      <c r="I7" s="26" t="n">
        <f aca="false">Inputs!$B$6/E7</f>
        <v>0.50215969212552</v>
      </c>
      <c r="J7" s="34" t="n">
        <f aca="false">Inputs!G21*Inputs!H21*Inputs!I21</f>
        <v>0.8073</v>
      </c>
      <c r="K7" s="32" t="n">
        <f aca="false">F7/D7</f>
        <v>12816.1663934647</v>
      </c>
      <c r="L7" s="35" t="str">
        <f aca="false">IF(K7=MIN($K$5:$K$11),"CONSTRAINT","")</f>
        <v/>
      </c>
      <c r="M7" s="20" t="n">
        <f aca="false">RANK(G7,$G$5:$G$11,0)</f>
        <v>2</v>
      </c>
    </row>
    <row r="8" customFormat="false" ht="15" hidden="false" customHeight="false" outlineLevel="0" collapsed="false">
      <c r="A8" s="30" t="n">
        <f aca="false">Inputs!A22</f>
        <v>4</v>
      </c>
      <c r="B8" s="31" t="str">
        <f aca="false">Inputs!B22</f>
        <v>Deburr / polish</v>
      </c>
      <c r="C8" s="30" t="n">
        <f aca="false">Inputs!D22</f>
        <v>5</v>
      </c>
      <c r="D8" s="26" t="n">
        <f aca="false">D7*Inputs!I21</f>
        <v>0.96042375</v>
      </c>
      <c r="E8" s="32" t="n">
        <f aca="false">$D$15*D8</f>
        <v>11183.6933311569</v>
      </c>
      <c r="F8" s="32" t="n">
        <f aca="false">C8*Inputs!$B$6*Inputs!G22*Inputs!H22/Inputs!E22</f>
        <v>13680</v>
      </c>
      <c r="G8" s="33" t="n">
        <f aca="false">E8/F8</f>
        <v>0.817521442336034</v>
      </c>
      <c r="H8" s="26" t="n">
        <f aca="false">Inputs!E22/(C8*Inputs!G22*Inputs!H22)</f>
        <v>0.421052631578947</v>
      </c>
      <c r="I8" s="26" t="n">
        <f aca="false">Inputs!$B$6/E8</f>
        <v>0.5150355816672</v>
      </c>
      <c r="J8" s="34" t="n">
        <f aca="false">Inputs!G22*Inputs!H22*Inputs!I22</f>
        <v>0.84645</v>
      </c>
      <c r="K8" s="32" t="n">
        <f aca="false">F8/D8</f>
        <v>14243.7127361751</v>
      </c>
      <c r="L8" s="35" t="str">
        <f aca="false">IF(K8=MIN($K$5:$K$11),"CONSTRAINT","")</f>
        <v/>
      </c>
      <c r="M8" s="20" t="n">
        <f aca="false">RANK(G8,$G$5:$G$11,0)</f>
        <v>4</v>
      </c>
    </row>
    <row r="9" customFormat="false" ht="15" hidden="false" customHeight="false" outlineLevel="0" collapsed="false">
      <c r="A9" s="30" t="n">
        <f aca="false">Inputs!A23</f>
        <v>5</v>
      </c>
      <c r="B9" s="31" t="str">
        <f aca="false">Inputs!B23</f>
        <v>Anodising (rack batch)</v>
      </c>
      <c r="C9" s="30" t="n">
        <f aca="false">Inputs!D23</f>
        <v>2</v>
      </c>
      <c r="D9" s="26" t="n">
        <f aca="false">D8*Inputs!I22</f>
        <v>0.9508195125</v>
      </c>
      <c r="E9" s="32" t="n">
        <f aca="false">$D$15*D9</f>
        <v>11071.8563978454</v>
      </c>
      <c r="F9" s="32" t="n">
        <f aca="false">C9*Inputs!$B$6*Inputs!G23*Inputs!H23/Inputs!E23</f>
        <v>9889.47692307692</v>
      </c>
      <c r="G9" s="33" t="n">
        <f aca="false">E9/F9</f>
        <v>1.11955935424748</v>
      </c>
      <c r="H9" s="26" t="n">
        <f aca="false">Inputs!E23/(C9*Inputs!G23*Inputs!H23)</f>
        <v>0.582437275985663</v>
      </c>
      <c r="I9" s="26" t="n">
        <f aca="false">Inputs!$B$6/E9</f>
        <v>0.52023796128</v>
      </c>
      <c r="J9" s="34" t="n">
        <f aca="false">Inputs!G23*Inputs!H23*Inputs!I23</f>
        <v>0.84165</v>
      </c>
      <c r="K9" s="32" t="n">
        <f aca="false">F9/D9</f>
        <v>10401.0033377149</v>
      </c>
      <c r="L9" s="35" t="str">
        <f aca="false">IF(K9=MIN($K$5:$K$11),"CONSTRAINT","")</f>
        <v>CONSTRAINT</v>
      </c>
      <c r="M9" s="20" t="n">
        <f aca="false">RANK(G9,$G$5:$G$11,0)</f>
        <v>1</v>
      </c>
    </row>
    <row r="10" customFormat="false" ht="15" hidden="false" customHeight="false" outlineLevel="0" collapsed="false">
      <c r="A10" s="30" t="n">
        <f aca="false">Inputs!A24</f>
        <v>6</v>
      </c>
      <c r="B10" s="31" t="str">
        <f aca="false">Inputs!B24</f>
        <v>Inspection</v>
      </c>
      <c r="C10" s="30" t="n">
        <f aca="false">Inputs!D24</f>
        <v>2</v>
      </c>
      <c r="D10" s="26" t="n">
        <f aca="false">D9*Inputs!I23</f>
        <v>0.8604916588125</v>
      </c>
      <c r="E10" s="32" t="n">
        <f aca="false">$D$15*D10</f>
        <v>10020.0300400501</v>
      </c>
      <c r="F10" s="32" t="n">
        <f aca="false">C10*Inputs!$B$6*Inputs!G24*Inputs!H24/Inputs!E24</f>
        <v>12360.2823529412</v>
      </c>
      <c r="G10" s="33" t="n">
        <f aca="false">E10/F10</f>
        <v>0.8106635232055</v>
      </c>
      <c r="H10" s="26" t="n">
        <f aca="false">Inputs!E24/(C10*Inputs!G24*Inputs!H24)</f>
        <v>0.466008771929825</v>
      </c>
      <c r="I10" s="26" t="n">
        <f aca="false">Inputs!$B$6/E10</f>
        <v>0.574848576</v>
      </c>
      <c r="J10" s="34" t="n">
        <f aca="false">Inputs!G24*Inputs!H24*Inputs!I24</f>
        <v>0.911088</v>
      </c>
      <c r="K10" s="32" t="n">
        <f aca="false">F10/D10</f>
        <v>14364.2093753688</v>
      </c>
      <c r="L10" s="35" t="str">
        <f aca="false">IF(K10=MIN($K$5:$K$11),"CONSTRAINT","")</f>
        <v/>
      </c>
      <c r="M10" s="20" t="n">
        <f aca="false">RANK(G10,$G$5:$G$11,0)</f>
        <v>5</v>
      </c>
    </row>
    <row r="11" customFormat="false" ht="15" hidden="false" customHeight="false" outlineLevel="0" collapsed="false">
      <c r="A11" s="30" t="n">
        <f aca="false">Inputs!A25</f>
        <v>7</v>
      </c>
      <c r="B11" s="31" t="str">
        <f aca="false">Inputs!B25</f>
        <v>Packing</v>
      </c>
      <c r="C11" s="30" t="n">
        <f aca="false">Inputs!D25</f>
        <v>2</v>
      </c>
      <c r="D11" s="26" t="n">
        <f aca="false">D10*Inputs!I24</f>
        <v>0.859631167153687</v>
      </c>
      <c r="E11" s="32" t="n">
        <f aca="false">$D$15*D11</f>
        <v>10010.01001001</v>
      </c>
      <c r="F11" s="32" t="n">
        <f aca="false">C11*Inputs!$B$6*Inputs!G25*Inputs!H25/Inputs!E25</f>
        <v>21231.36</v>
      </c>
      <c r="G11" s="33" t="n">
        <f aca="false">E11/F11</f>
        <v>0.47147285948757</v>
      </c>
      <c r="H11" s="26" t="n">
        <f aca="false">Inputs!E25/(C11*Inputs!G25*Inputs!H25)</f>
        <v>0.271296798697775</v>
      </c>
      <c r="I11" s="26" t="n">
        <f aca="false">Inputs!$B$6/E11</f>
        <v>0.575424</v>
      </c>
      <c r="J11" s="34" t="n">
        <f aca="false">Inputs!G25*Inputs!H25*Inputs!I25</f>
        <v>0.9205785</v>
      </c>
      <c r="K11" s="32" t="n">
        <f aca="false">F11/D11</f>
        <v>24698.220366182</v>
      </c>
      <c r="L11" s="35" t="str">
        <f aca="false">IF(K11=MIN($K$5:$K$11),"CONSTRAINT","")</f>
        <v/>
      </c>
      <c r="M11" s="20" t="n">
        <f aca="false">RANK(G11,$G$5:$G$11,0)</f>
        <v>7</v>
      </c>
    </row>
    <row r="13" customFormat="false" ht="15" hidden="false" customHeight="false" outlineLevel="0" collapsed="false">
      <c r="A13" s="5" t="s">
        <v>148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customFormat="false" ht="15" hidden="false" customHeight="false" outlineLevel="0" collapsed="false">
      <c r="A14" s="36" t="s">
        <v>149</v>
      </c>
      <c r="B14" s="36"/>
      <c r="C14" s="36"/>
      <c r="D14" s="10" t="n">
        <f aca="false">PRODUCT(Inputs!I19:I25)</f>
        <v>0.858771535986534</v>
      </c>
      <c r="E14" s="10"/>
    </row>
    <row r="15" customFormat="false" ht="15" hidden="false" customHeight="false" outlineLevel="0" collapsed="false">
      <c r="A15" s="36" t="s">
        <v>150</v>
      </c>
      <c r="B15" s="36"/>
      <c r="C15" s="36"/>
      <c r="D15" s="9" t="n">
        <f aca="false">Inputs!B7/D14</f>
        <v>11644.540580298</v>
      </c>
      <c r="E15" s="9"/>
    </row>
    <row r="16" customFormat="false" ht="15" hidden="false" customHeight="false" outlineLevel="0" collapsed="false">
      <c r="A16" s="36" t="s">
        <v>151</v>
      </c>
      <c r="B16" s="36"/>
      <c r="C16" s="36"/>
      <c r="D16" s="37" t="n">
        <f aca="false">Inputs!B6/Inputs!B7</f>
        <v>0.576</v>
      </c>
      <c r="E16" s="37"/>
    </row>
    <row r="17" customFormat="false" ht="15" hidden="false" customHeight="false" outlineLevel="0" collapsed="false">
      <c r="A17" s="36" t="s">
        <v>152</v>
      </c>
      <c r="B17" s="36"/>
      <c r="C17" s="36"/>
      <c r="D17" s="37" t="n">
        <f aca="false">Inputs!B6/D15</f>
        <v>0.494652404728243</v>
      </c>
      <c r="E17" s="37"/>
    </row>
    <row r="18" customFormat="false" ht="15" hidden="false" customHeight="false" outlineLevel="0" collapsed="false">
      <c r="A18" s="36" t="s">
        <v>153</v>
      </c>
      <c r="B18" s="36"/>
      <c r="C18" s="36"/>
      <c r="D18" s="9" t="n">
        <f aca="false">MIN(K5:K11)</f>
        <v>10401.0033377149</v>
      </c>
      <c r="E18" s="9"/>
    </row>
    <row r="19" customFormat="false" ht="15" hidden="false" customHeight="false" outlineLevel="0" collapsed="false">
      <c r="A19" s="36" t="s">
        <v>154</v>
      </c>
      <c r="B19" s="36"/>
      <c r="C19" s="36"/>
      <c r="D19" s="8" t="str">
        <f aca="false">INDEX(B5:B11,MATCH(D18,K5:K11,0))</f>
        <v>Anodising (rack batch)</v>
      </c>
      <c r="E19" s="8"/>
    </row>
    <row r="20" customFormat="false" ht="15" hidden="false" customHeight="false" outlineLevel="0" collapsed="false">
      <c r="A20" s="36" t="s">
        <v>155</v>
      </c>
      <c r="B20" s="36"/>
      <c r="C20" s="36"/>
      <c r="D20" s="9" t="n">
        <f aca="false">D18*D14</f>
        <v>8932.08561213046</v>
      </c>
      <c r="E20" s="9"/>
    </row>
    <row r="21" customFormat="false" ht="15" hidden="false" customHeight="false" outlineLevel="0" collapsed="false">
      <c r="A21" s="36" t="s">
        <v>156</v>
      </c>
      <c r="B21" s="36"/>
      <c r="C21" s="36"/>
      <c r="D21" s="9" t="n">
        <f aca="false">D20-Inputs!B7</f>
        <v>-1067.91438786954</v>
      </c>
      <c r="E21" s="9"/>
    </row>
    <row r="22" customFormat="false" ht="15" hidden="false" customHeight="false" outlineLevel="0" collapsed="false">
      <c r="A22" s="36" t="s">
        <v>25</v>
      </c>
      <c r="B22" s="36"/>
      <c r="C22" s="36"/>
      <c r="D22" s="10" t="n">
        <f aca="false">D20/Inputs!B7</f>
        <v>0.893208561213046</v>
      </c>
      <c r="E22" s="10"/>
    </row>
    <row r="23" customFormat="false" ht="15" hidden="false" customHeight="false" outlineLevel="0" collapsed="false">
      <c r="A23" s="36" t="s">
        <v>27</v>
      </c>
      <c r="B23" s="36"/>
      <c r="C23" s="36"/>
      <c r="D23" s="10" t="n">
        <f aca="false">INDEX(J5:J11,MATCH(D18,K5:K11,0))</f>
        <v>0.84165</v>
      </c>
      <c r="E23" s="10"/>
    </row>
    <row r="24" customFormat="false" ht="15" hidden="false" customHeight="false" outlineLevel="0" collapsed="false">
      <c r="A24" s="36" t="s">
        <v>29</v>
      </c>
      <c r="B24" s="36"/>
      <c r="C24" s="36"/>
      <c r="D24" s="8" t="str">
        <f aca="false">INDEX(B5:B11,MATCH(SMALL(K5:K11,2),K5:K11,0))</f>
        <v>CNC OP20 finish</v>
      </c>
      <c r="E24" s="8"/>
    </row>
    <row r="25" customFormat="false" ht="15" hidden="false" customHeight="false" outlineLevel="0" collapsed="false">
      <c r="A25" s="36" t="s">
        <v>157</v>
      </c>
      <c r="B25" s="36"/>
      <c r="C25" s="36"/>
      <c r="D25" s="10" t="n">
        <f aca="false">INDEX(G5:G11,MATCH(SMALL(K5:K11,2),K5:K11,0))</f>
        <v>0.908582193988669</v>
      </c>
      <c r="E25" s="10"/>
    </row>
    <row r="27" customFormat="false" ht="15" hidden="false" customHeight="false" outlineLevel="0" collapsed="false">
      <c r="A27" s="2" t="s">
        <v>158</v>
      </c>
    </row>
  </sheetData>
  <mergeCells count="24"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</mergeCells>
  <conditionalFormatting sqref="G5:G11">
    <cfRule type="expression" priority="2" aboveAverage="0" equalAverage="0" bottom="0" percent="0" rank="0" text="" dxfId="0">
      <formula>G5&gt;=1</formula>
    </cfRule>
    <cfRule type="expression" priority="3" aboveAverage="0" equalAverage="0" bottom="0" percent="0" rank="0" text="" dxfId="1">
      <formula>G5&gt;=0.9</formula>
    </cfRule>
    <cfRule type="expression" priority="4" aboveAverage="0" equalAverage="0" bottom="0" percent="0" rank="0" text="" dxfId="2">
      <formula>G5&lt;0.9</formula>
    </cfRule>
  </conditionalFormatting>
  <conditionalFormatting sqref="L5:L11">
    <cfRule type="expression" priority="5" aboveAverage="0" equalAverage="0" bottom="0" percent="0" rank="0" text="" dxfId="0">
      <formula>L5="CONSTRAINT"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8" min="3" style="0" width="9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22" min="16" style="0" width="12"/>
    <col collapsed="false" customWidth="true" hidden="false" outlineLevel="0" max="23" min="23" style="0" width="13"/>
    <col collapsed="false" customWidth="true" hidden="false" outlineLevel="0" max="24" min="24" style="0" width="24"/>
    <col collapsed="false" customWidth="true" hidden="false" outlineLevel="0" max="26" min="25" style="0" width="14"/>
    <col collapsed="false" customWidth="true" hidden="false" outlineLevel="0" max="28" min="27" style="0" width="13"/>
    <col collapsed="false" customWidth="true" hidden="false" outlineLevel="0" max="29" min="29" style="0" width="12"/>
    <col collapsed="false" customWidth="true" hidden="false" outlineLevel="0" max="31" min="30" style="0" width="13"/>
  </cols>
  <sheetData>
    <row r="1" customFormat="false" ht="17.3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160</v>
      </c>
    </row>
    <row r="4" customFormat="false" ht="57.75" hidden="false" customHeight="true" outlineLevel="0" collapsed="false">
      <c r="A4" s="19" t="s">
        <v>161</v>
      </c>
      <c r="B4" s="19" t="s">
        <v>162</v>
      </c>
      <c r="C4" s="19" t="s">
        <v>112</v>
      </c>
      <c r="D4" s="19" t="s">
        <v>116</v>
      </c>
      <c r="E4" s="19" t="s">
        <v>120</v>
      </c>
      <c r="F4" s="19" t="s">
        <v>124</v>
      </c>
      <c r="G4" s="19" t="s">
        <v>128</v>
      </c>
      <c r="H4" s="19" t="s">
        <v>132</v>
      </c>
      <c r="I4" s="19" t="s">
        <v>163</v>
      </c>
      <c r="J4" s="19" t="s">
        <v>164</v>
      </c>
      <c r="K4" s="19" t="s">
        <v>165</v>
      </c>
      <c r="L4" s="19" t="s">
        <v>166</v>
      </c>
      <c r="M4" s="19" t="s">
        <v>167</v>
      </c>
      <c r="N4" s="19" t="s">
        <v>168</v>
      </c>
      <c r="O4" s="19" t="s">
        <v>169</v>
      </c>
      <c r="P4" s="19" t="str">
        <f aca="false">BaseAnalysis!B5</f>
        <v>Blank saw</v>
      </c>
      <c r="Q4" s="19" t="str">
        <f aca="false">BaseAnalysis!B6</f>
        <v>CNC OP10 rough</v>
      </c>
      <c r="R4" s="19" t="str">
        <f aca="false">BaseAnalysis!B7</f>
        <v>CNC OP20 finish</v>
      </c>
      <c r="S4" s="19" t="str">
        <f aca="false">BaseAnalysis!B8</f>
        <v>Deburr / polish</v>
      </c>
      <c r="T4" s="19" t="str">
        <f aca="false">BaseAnalysis!B9</f>
        <v>Anodising (rack batch)</v>
      </c>
      <c r="U4" s="19" t="str">
        <f aca="false">BaseAnalysis!B10</f>
        <v>Inspection</v>
      </c>
      <c r="V4" s="19" t="str">
        <f aca="false">BaseAnalysis!B11</f>
        <v>Packing</v>
      </c>
      <c r="W4" s="19" t="s">
        <v>170</v>
      </c>
      <c r="X4" s="19" t="s">
        <v>171</v>
      </c>
      <c r="Y4" s="19" t="s">
        <v>172</v>
      </c>
      <c r="Z4" s="19" t="s">
        <v>173</v>
      </c>
      <c r="AA4" s="19" t="s">
        <v>174</v>
      </c>
      <c r="AB4" s="19" t="s">
        <v>175</v>
      </c>
      <c r="AC4" s="19" t="s">
        <v>176</v>
      </c>
      <c r="AD4" s="19" t="s">
        <v>109</v>
      </c>
      <c r="AE4" s="19" t="s">
        <v>110</v>
      </c>
    </row>
    <row r="5" customFormat="false" ht="30" hidden="false" customHeight="true" outlineLevel="0" collapsed="false">
      <c r="A5" s="35" t="s">
        <v>177</v>
      </c>
      <c r="B5" s="38" t="s">
        <v>178</v>
      </c>
      <c r="C5" s="39" t="n">
        <v>0</v>
      </c>
      <c r="D5" s="39" t="n">
        <v>0</v>
      </c>
      <c r="E5" s="39" t="n">
        <v>0</v>
      </c>
      <c r="F5" s="39" t="n">
        <v>0</v>
      </c>
      <c r="G5" s="39" t="n">
        <v>0</v>
      </c>
      <c r="H5" s="39" t="n">
        <v>0</v>
      </c>
      <c r="I5" s="20" t="n">
        <f aca="false">IF(G5=1,Inputs!$C$33,Inputs!$D$23)</f>
        <v>2</v>
      </c>
      <c r="J5" s="40" t="n">
        <f aca="false">IF(E5=1,Inputs!$C$31,Inputs!$F$23)</f>
        <v>52</v>
      </c>
      <c r="K5" s="34" t="n">
        <f aca="false">IF(H5=1,Inputs!$C$34,Inputs!$G$23)</f>
        <v>0.93</v>
      </c>
      <c r="L5" s="26" t="n">
        <f aca="false">IF(F5=1,Inputs!$C$32,1)</f>
        <v>1</v>
      </c>
      <c r="M5" s="34" t="n">
        <f aca="false">IF(D5=1,Inputs!$C$30,Inputs!$I$23)</f>
        <v>0.905</v>
      </c>
      <c r="N5" s="32" t="n">
        <f aca="false">I5*Inputs!$B$6*L5*K5*Inputs!$H$23/(J5/Inputs!$B$9)</f>
        <v>9889.47692307692</v>
      </c>
      <c r="O5" s="34" t="n">
        <f aca="false">Inputs!$I$19*Inputs!$I$20*Inputs!$I$21*Inputs!$I$22*M5*Inputs!$I$24*Inputs!$I$25</f>
        <v>0.858771535986534</v>
      </c>
      <c r="P5" s="41" t="n">
        <f aca="false">BaseAnalysis!$K$5</f>
        <v>16780.8</v>
      </c>
      <c r="Q5" s="41" t="n">
        <f aca="false">BaseAnalysis!$K$6</f>
        <v>12904.8936992656</v>
      </c>
      <c r="R5" s="41" t="n">
        <f aca="false">BaseAnalysis!$K$7</f>
        <v>12816.1663934647</v>
      </c>
      <c r="S5" s="41" t="n">
        <f aca="false">BaseAnalysis!$K$8</f>
        <v>14243.7127361751</v>
      </c>
      <c r="T5" s="32" t="n">
        <f aca="false">N5/BaseAnalysis!$D$9</f>
        <v>10401.0033377149</v>
      </c>
      <c r="U5" s="32" t="n">
        <f aca="false">BaseAnalysis!$F$10/(BaseAnalysis!$D$9*M5)</f>
        <v>14364.2093753688</v>
      </c>
      <c r="V5" s="32" t="n">
        <f aca="false">BaseAnalysis!$F$11/(BaseAnalysis!$D$9*M5*Inputs!$I$24)</f>
        <v>24698.220366182</v>
      </c>
      <c r="W5" s="42" t="n">
        <f aca="false">MIN(P5:V5)</f>
        <v>10401.0033377149</v>
      </c>
      <c r="X5" s="43" t="str">
        <f aca="false">INDEX($P$4:$V$4,MATCH(W5,P5:V5,0))</f>
        <v>Anodising (rack batch)</v>
      </c>
      <c r="Y5" s="32" t="n">
        <f aca="false">W5*O5</f>
        <v>8932.08561213046</v>
      </c>
      <c r="Z5" s="42" t="n">
        <f aca="false">MIN(Y5,Inputs!$B$7)</f>
        <v>8932.08561213046</v>
      </c>
      <c r="AA5" s="32" t="n">
        <f aca="false">Z5-$Z$5</f>
        <v>0</v>
      </c>
      <c r="AB5" s="32" t="n">
        <f aca="false">Inputs!$B$7/O5</f>
        <v>11644.540580298</v>
      </c>
      <c r="AC5" s="44" t="n">
        <f aca="false">Y5/Inputs!$B$7-1</f>
        <v>-0.106791438786954</v>
      </c>
      <c r="AD5" s="45" t="n">
        <f aca="false">C5*Inputs!$E$29+D5*Inputs!$E$30+E5*Inputs!$E$31+F5*Inputs!$E$32+G5*Inputs!$E$33+H5*Inputs!$E$34</f>
        <v>0</v>
      </c>
      <c r="AE5" s="45" t="n">
        <f aca="false">C5*Inputs!$F$29+D5*Inputs!$F$30+E5*Inputs!$F$31+F5*Inputs!$F$32+G5*Inputs!$F$33+H5*Inputs!$F$34</f>
        <v>0</v>
      </c>
    </row>
    <row r="6" customFormat="false" ht="30" hidden="false" customHeight="true" outlineLevel="0" collapsed="false">
      <c r="A6" s="35" t="s">
        <v>179</v>
      </c>
      <c r="B6" s="38" t="s">
        <v>180</v>
      </c>
      <c r="C6" s="39" t="n">
        <v>1</v>
      </c>
      <c r="D6" s="39" t="n">
        <v>0</v>
      </c>
      <c r="E6" s="39" t="n">
        <v>0</v>
      </c>
      <c r="F6" s="39" t="n">
        <v>0</v>
      </c>
      <c r="G6" s="39" t="n">
        <v>0</v>
      </c>
      <c r="H6" s="39" t="n">
        <v>0</v>
      </c>
      <c r="I6" s="20" t="n">
        <f aca="false">IF(G6=1,Inputs!$C$33,Inputs!$D$23)</f>
        <v>2</v>
      </c>
      <c r="J6" s="40" t="n">
        <f aca="false">IF(E6=1,Inputs!$C$31,Inputs!$F$23)</f>
        <v>52</v>
      </c>
      <c r="K6" s="34" t="n">
        <f aca="false">IF(H6=1,Inputs!$C$34,Inputs!$G$23)</f>
        <v>0.93</v>
      </c>
      <c r="L6" s="26" t="n">
        <f aca="false">IF(F6=1,Inputs!$C$32,1)</f>
        <v>1</v>
      </c>
      <c r="M6" s="34" t="n">
        <f aca="false">IF(D6=1,Inputs!$C$30,Inputs!$I$23)</f>
        <v>0.905</v>
      </c>
      <c r="N6" s="32" t="n">
        <f aca="false">I6*Inputs!$B$6*L6*K6*Inputs!$H$23/(J6/Inputs!$B$9)</f>
        <v>9889.47692307692</v>
      </c>
      <c r="O6" s="34" t="n">
        <f aca="false">Inputs!$I$19*Inputs!$I$20*Inputs!$I$21*Inputs!$I$22*M6*Inputs!$I$24*Inputs!$I$25</f>
        <v>0.858771535986534</v>
      </c>
      <c r="P6" s="41" t="n">
        <f aca="false">BaseAnalysis!$K$5</f>
        <v>16780.8</v>
      </c>
      <c r="Q6" s="41" t="n">
        <f aca="false">BaseAnalysis!$K$6</f>
        <v>12904.8936992656</v>
      </c>
      <c r="R6" s="41" t="n">
        <f aca="false">BaseAnalysis!$K$7</f>
        <v>12816.1663934647</v>
      </c>
      <c r="S6" s="41" t="n">
        <f aca="false">BaseAnalysis!$K$8</f>
        <v>14243.7127361751</v>
      </c>
      <c r="T6" s="32" t="n">
        <f aca="false">N6/BaseAnalysis!$D$9</f>
        <v>10401.0033377149</v>
      </c>
      <c r="U6" s="32" t="n">
        <f aca="false">BaseAnalysis!$F$10/(BaseAnalysis!$D$9*M6)</f>
        <v>14364.2093753688</v>
      </c>
      <c r="V6" s="32" t="n">
        <f aca="false">BaseAnalysis!$F$11/(BaseAnalysis!$D$9*M6*Inputs!$I$24)</f>
        <v>24698.220366182</v>
      </c>
      <c r="W6" s="42" t="n">
        <f aca="false">MIN(P6:V6)</f>
        <v>10401.0033377149</v>
      </c>
      <c r="X6" s="43" t="str">
        <f aca="false">INDEX($P$4:$V$4,MATCH(W6,P6:V6,0))</f>
        <v>Anodising (rack batch)</v>
      </c>
      <c r="Y6" s="32" t="n">
        <f aca="false">W6*O6</f>
        <v>8932.08561213046</v>
      </c>
      <c r="Z6" s="42" t="n">
        <f aca="false">MIN(Y6,Inputs!$B$7)</f>
        <v>8932.08561213046</v>
      </c>
      <c r="AA6" s="32" t="n">
        <f aca="false">Z6-$Z$5</f>
        <v>0</v>
      </c>
      <c r="AB6" s="32" t="n">
        <f aca="false">Inputs!$B$7/O6</f>
        <v>11644.540580298</v>
      </c>
      <c r="AC6" s="44" t="n">
        <f aca="false">Y6/Inputs!$B$7-1</f>
        <v>-0.106791438786954</v>
      </c>
      <c r="AD6" s="45" t="n">
        <f aca="false">C6*Inputs!$E$29+D6*Inputs!$E$30+E6*Inputs!$E$31+F6*Inputs!$E$32+G6*Inputs!$E$33+H6*Inputs!$E$34</f>
        <v>10000</v>
      </c>
      <c r="AE6" s="45" t="n">
        <f aca="false">C6*Inputs!$F$29+D6*Inputs!$F$30+E6*Inputs!$F$31+F6*Inputs!$F$32+G6*Inputs!$F$33+H6*Inputs!$F$34</f>
        <v>0</v>
      </c>
    </row>
    <row r="7" customFormat="false" ht="30" hidden="false" customHeight="true" outlineLevel="0" collapsed="false">
      <c r="A7" s="35" t="s">
        <v>181</v>
      </c>
      <c r="B7" s="38" t="s">
        <v>182</v>
      </c>
      <c r="C7" s="39" t="n">
        <v>0</v>
      </c>
      <c r="D7" s="39" t="n">
        <v>1</v>
      </c>
      <c r="E7" s="39" t="n">
        <v>0</v>
      </c>
      <c r="F7" s="39" t="n">
        <v>0</v>
      </c>
      <c r="G7" s="39" t="n">
        <v>0</v>
      </c>
      <c r="H7" s="39" t="n">
        <v>0</v>
      </c>
      <c r="I7" s="20" t="n">
        <f aca="false">IF(G7=1,Inputs!$C$33,Inputs!$D$23)</f>
        <v>2</v>
      </c>
      <c r="J7" s="40" t="n">
        <f aca="false">IF(E7=1,Inputs!$C$31,Inputs!$F$23)</f>
        <v>52</v>
      </c>
      <c r="K7" s="34" t="n">
        <f aca="false">IF(H7=1,Inputs!$C$34,Inputs!$G$23)</f>
        <v>0.93</v>
      </c>
      <c r="L7" s="26" t="n">
        <f aca="false">IF(F7=1,Inputs!$C$32,1)</f>
        <v>1</v>
      </c>
      <c r="M7" s="34" t="n">
        <f aca="false">IF(D7=1,Inputs!$C$30,Inputs!$I$23)</f>
        <v>0.935</v>
      </c>
      <c r="N7" s="32" t="n">
        <f aca="false">I7*Inputs!$B$6*L7*K7*Inputs!$H$23/(J7/Inputs!$B$9)</f>
        <v>9889.47692307692</v>
      </c>
      <c r="O7" s="34" t="n">
        <f aca="false">Inputs!$I$19*Inputs!$I$20*Inputs!$I$21*Inputs!$I$22*M7*Inputs!$I$24*Inputs!$I$25</f>
        <v>0.887239100715369</v>
      </c>
      <c r="P7" s="41" t="n">
        <f aca="false">BaseAnalysis!$K$5</f>
        <v>16780.8</v>
      </c>
      <c r="Q7" s="41" t="n">
        <f aca="false">BaseAnalysis!$K$6</f>
        <v>12904.8936992656</v>
      </c>
      <c r="R7" s="41" t="n">
        <f aca="false">BaseAnalysis!$K$7</f>
        <v>12816.1663934647</v>
      </c>
      <c r="S7" s="41" t="n">
        <f aca="false">BaseAnalysis!$K$8</f>
        <v>14243.7127361751</v>
      </c>
      <c r="T7" s="32" t="n">
        <f aca="false">N7/BaseAnalysis!$D$9</f>
        <v>10401.0033377149</v>
      </c>
      <c r="U7" s="32" t="n">
        <f aca="false">BaseAnalysis!$F$10/(BaseAnalysis!$D$9*M7)</f>
        <v>13903.3256520949</v>
      </c>
      <c r="V7" s="32" t="n">
        <f aca="false">BaseAnalysis!$F$11/(BaseAnalysis!$D$9*M7*Inputs!$I$24)</f>
        <v>23905.7640977483</v>
      </c>
      <c r="W7" s="42" t="n">
        <f aca="false">MIN(P7:V7)</f>
        <v>10401.0033377149</v>
      </c>
      <c r="X7" s="43" t="str">
        <f aca="false">INDEX($P$4:$V$4,MATCH(W7,P7:V7,0))</f>
        <v>Anodising (rack batch)</v>
      </c>
      <c r="Y7" s="32" t="n">
        <f aca="false">W7*O7</f>
        <v>9228.1768478917</v>
      </c>
      <c r="Z7" s="42" t="n">
        <f aca="false">MIN(Y7,Inputs!$B$7)</f>
        <v>9228.1768478917</v>
      </c>
      <c r="AA7" s="32" t="n">
        <f aca="false">Z7-$Z$5</f>
        <v>296.091235761232</v>
      </c>
      <c r="AB7" s="32" t="n">
        <f aca="false">Inputs!$B$7/O7</f>
        <v>11270.9189574007</v>
      </c>
      <c r="AC7" s="44" t="n">
        <f aca="false">Y7/Inputs!$B$7-1</f>
        <v>-0.0771823152108305</v>
      </c>
      <c r="AD7" s="45" t="n">
        <f aca="false">C7*Inputs!$E$29+D7*Inputs!$E$30+E7*Inputs!$E$31+F7*Inputs!$E$32+G7*Inputs!$E$33+H7*Inputs!$E$34</f>
        <v>20000</v>
      </c>
      <c r="AE7" s="45" t="n">
        <f aca="false">C7*Inputs!$F$29+D7*Inputs!$F$30+E7*Inputs!$F$31+F7*Inputs!$F$32+G7*Inputs!$F$33+H7*Inputs!$F$34</f>
        <v>60000</v>
      </c>
    </row>
    <row r="8" customFormat="false" ht="30" hidden="false" customHeight="true" outlineLevel="0" collapsed="false">
      <c r="A8" s="35" t="s">
        <v>183</v>
      </c>
      <c r="B8" s="38" t="s">
        <v>184</v>
      </c>
      <c r="C8" s="39" t="n">
        <v>0</v>
      </c>
      <c r="D8" s="39" t="n">
        <v>0</v>
      </c>
      <c r="E8" s="39" t="n">
        <v>1</v>
      </c>
      <c r="F8" s="39" t="n">
        <v>0</v>
      </c>
      <c r="G8" s="39" t="n">
        <v>0</v>
      </c>
      <c r="H8" s="39" t="n">
        <v>0</v>
      </c>
      <c r="I8" s="20" t="n">
        <f aca="false">IF(G8=1,Inputs!$C$33,Inputs!$D$23)</f>
        <v>2</v>
      </c>
      <c r="J8" s="40" t="n">
        <f aca="false">IF(E8=1,Inputs!$C$31,Inputs!$F$23)</f>
        <v>46</v>
      </c>
      <c r="K8" s="34" t="n">
        <f aca="false">IF(H8=1,Inputs!$C$34,Inputs!$G$23)</f>
        <v>0.93</v>
      </c>
      <c r="L8" s="26" t="n">
        <f aca="false">IF(F8=1,Inputs!$C$32,1)</f>
        <v>1</v>
      </c>
      <c r="M8" s="34" t="n">
        <f aca="false">IF(D8=1,Inputs!$C$30,Inputs!$I$23)</f>
        <v>0.905</v>
      </c>
      <c r="N8" s="32" t="n">
        <f aca="false">I8*Inputs!$B$6*L8*K8*Inputs!$H$23/(J8/Inputs!$B$9)</f>
        <v>11179.4086956522</v>
      </c>
      <c r="O8" s="34" t="n">
        <f aca="false">Inputs!$I$19*Inputs!$I$20*Inputs!$I$21*Inputs!$I$22*M8*Inputs!$I$24*Inputs!$I$25</f>
        <v>0.858771535986534</v>
      </c>
      <c r="P8" s="41" t="n">
        <f aca="false">BaseAnalysis!$K$5</f>
        <v>16780.8</v>
      </c>
      <c r="Q8" s="41" t="n">
        <f aca="false">BaseAnalysis!$K$6</f>
        <v>12904.8936992656</v>
      </c>
      <c r="R8" s="41" t="n">
        <f aca="false">BaseAnalysis!$K$7</f>
        <v>12816.1663934647</v>
      </c>
      <c r="S8" s="41" t="n">
        <f aca="false">BaseAnalysis!$K$8</f>
        <v>14243.7127361751</v>
      </c>
      <c r="T8" s="32" t="n">
        <f aca="false">N8/BaseAnalysis!$D$9</f>
        <v>11757.655946982</v>
      </c>
      <c r="U8" s="32" t="n">
        <f aca="false">BaseAnalysis!$F$10/(BaseAnalysis!$D$9*M8)</f>
        <v>14364.2093753688</v>
      </c>
      <c r="V8" s="32" t="n">
        <f aca="false">BaseAnalysis!$F$11/(BaseAnalysis!$D$9*M8*Inputs!$I$24)</f>
        <v>24698.220366182</v>
      </c>
      <c r="W8" s="42" t="n">
        <f aca="false">MIN(P8:V8)</f>
        <v>11757.655946982</v>
      </c>
      <c r="X8" s="43" t="str">
        <f aca="false">INDEX($P$4:$V$4,MATCH(W8,P8:V8,0))</f>
        <v>Anodising (rack batch)</v>
      </c>
      <c r="Y8" s="32" t="n">
        <f aca="false">W8*O8</f>
        <v>10097.140257191</v>
      </c>
      <c r="Z8" s="42" t="n">
        <f aca="false">MIN(Y8,Inputs!$B$7)</f>
        <v>10000</v>
      </c>
      <c r="AA8" s="32" t="n">
        <f aca="false">Z8-$Z$5</f>
        <v>1067.91438786954</v>
      </c>
      <c r="AB8" s="32" t="n">
        <f aca="false">Inputs!$B$7/O8</f>
        <v>11644.540580298</v>
      </c>
      <c r="AC8" s="44" t="n">
        <f aca="false">Y8/Inputs!$B$7-1</f>
        <v>0.00971402571909574</v>
      </c>
      <c r="AD8" s="45" t="n">
        <f aca="false">C8*Inputs!$E$29+D8*Inputs!$E$30+E8*Inputs!$E$31+F8*Inputs!$E$32+G8*Inputs!$E$33+H8*Inputs!$E$34</f>
        <v>40000</v>
      </c>
      <c r="AE8" s="45" t="n">
        <f aca="false">C8*Inputs!$F$29+D8*Inputs!$F$30+E8*Inputs!$F$31+F8*Inputs!$F$32+G8*Inputs!$F$33+H8*Inputs!$F$34</f>
        <v>0</v>
      </c>
    </row>
    <row r="9" customFormat="false" ht="30" hidden="false" customHeight="true" outlineLevel="0" collapsed="false">
      <c r="A9" s="35" t="s">
        <v>185</v>
      </c>
      <c r="B9" s="38" t="s">
        <v>125</v>
      </c>
      <c r="C9" s="39" t="n">
        <v>0</v>
      </c>
      <c r="D9" s="39" t="n">
        <v>0</v>
      </c>
      <c r="E9" s="39" t="n">
        <v>0</v>
      </c>
      <c r="F9" s="39" t="n">
        <v>1</v>
      </c>
      <c r="G9" s="39" t="n">
        <v>0</v>
      </c>
      <c r="H9" s="39" t="n">
        <v>0</v>
      </c>
      <c r="I9" s="20" t="n">
        <f aca="false">IF(G9=1,Inputs!$C$33,Inputs!$D$23)</f>
        <v>2</v>
      </c>
      <c r="J9" s="40" t="n">
        <f aca="false">IF(E9=1,Inputs!$C$31,Inputs!$F$23)</f>
        <v>52</v>
      </c>
      <c r="K9" s="34" t="n">
        <f aca="false">IF(H9=1,Inputs!$C$34,Inputs!$G$23)</f>
        <v>0.93</v>
      </c>
      <c r="L9" s="26" t="n">
        <f aca="false">IF(F9=1,Inputs!$C$32,1)</f>
        <v>1.16666666666667</v>
      </c>
      <c r="M9" s="34" t="n">
        <f aca="false">IF(D9=1,Inputs!$C$30,Inputs!$I$23)</f>
        <v>0.905</v>
      </c>
      <c r="N9" s="32" t="n">
        <f aca="false">I9*Inputs!$B$6*L9*K9*Inputs!$H$23/(J9/Inputs!$B$9)</f>
        <v>11537.7230769231</v>
      </c>
      <c r="O9" s="34" t="n">
        <f aca="false">Inputs!$I$19*Inputs!$I$20*Inputs!$I$21*Inputs!$I$22*M9*Inputs!$I$24*Inputs!$I$25</f>
        <v>0.858771535986534</v>
      </c>
      <c r="P9" s="41" t="n">
        <f aca="false">BaseAnalysis!$K$5</f>
        <v>16780.8</v>
      </c>
      <c r="Q9" s="41" t="n">
        <f aca="false">BaseAnalysis!$K$6</f>
        <v>12904.8936992656</v>
      </c>
      <c r="R9" s="41" t="n">
        <f aca="false">BaseAnalysis!$K$7</f>
        <v>12816.1663934647</v>
      </c>
      <c r="S9" s="41" t="n">
        <f aca="false">BaseAnalysis!$K$8</f>
        <v>14243.7127361751</v>
      </c>
      <c r="T9" s="32" t="n">
        <f aca="false">N9/BaseAnalysis!$D$9</f>
        <v>12134.5038940007</v>
      </c>
      <c r="U9" s="32" t="n">
        <f aca="false">BaseAnalysis!$F$10/(BaseAnalysis!$D$9*M9)</f>
        <v>14364.2093753688</v>
      </c>
      <c r="V9" s="32" t="n">
        <f aca="false">BaseAnalysis!$F$11/(BaseAnalysis!$D$9*M9*Inputs!$I$24)</f>
        <v>24698.220366182</v>
      </c>
      <c r="W9" s="42" t="n">
        <f aca="false">MIN(P9:V9)</f>
        <v>12134.5038940007</v>
      </c>
      <c r="X9" s="43" t="str">
        <f aca="false">INDEX($P$4:$V$4,MATCH(W9,P9:V9,0))</f>
        <v>Anodising (rack batch)</v>
      </c>
      <c r="Y9" s="32" t="n">
        <f aca="false">W9*O9</f>
        <v>10420.7665474855</v>
      </c>
      <c r="Z9" s="42" t="n">
        <f aca="false">MIN(Y9,Inputs!$B$7)</f>
        <v>10000</v>
      </c>
      <c r="AA9" s="32" t="n">
        <f aca="false">Z9-$Z$5</f>
        <v>1067.91438786954</v>
      </c>
      <c r="AB9" s="32" t="n">
        <f aca="false">Inputs!$B$7/O9</f>
        <v>11644.540580298</v>
      </c>
      <c r="AC9" s="44" t="n">
        <f aca="false">Y9/Inputs!$B$7-1</f>
        <v>0.042076654748554</v>
      </c>
      <c r="AD9" s="45" t="n">
        <f aca="false">C9*Inputs!$E$29+D9*Inputs!$E$30+E9*Inputs!$E$31+F9*Inputs!$E$32+G9*Inputs!$E$33+H9*Inputs!$E$34</f>
        <v>0</v>
      </c>
      <c r="AE9" s="45" t="n">
        <f aca="false">C9*Inputs!$F$29+D9*Inputs!$F$30+E9*Inputs!$F$31+F9*Inputs!$F$32+G9*Inputs!$F$33+H9*Inputs!$F$34</f>
        <v>120000</v>
      </c>
    </row>
    <row r="10" customFormat="false" ht="30" hidden="false" customHeight="true" outlineLevel="0" collapsed="false">
      <c r="A10" s="35" t="s">
        <v>186</v>
      </c>
      <c r="B10" s="38" t="s">
        <v>129</v>
      </c>
      <c r="C10" s="39" t="n">
        <v>0</v>
      </c>
      <c r="D10" s="39" t="n">
        <v>0</v>
      </c>
      <c r="E10" s="39" t="n">
        <v>0</v>
      </c>
      <c r="F10" s="39" t="n">
        <v>0</v>
      </c>
      <c r="G10" s="39" t="n">
        <v>1</v>
      </c>
      <c r="H10" s="39" t="n">
        <v>0</v>
      </c>
      <c r="I10" s="20" t="n">
        <f aca="false">IF(G10=1,Inputs!$C$33,Inputs!$D$23)</f>
        <v>3</v>
      </c>
      <c r="J10" s="40" t="n">
        <f aca="false">IF(E10=1,Inputs!$C$31,Inputs!$F$23)</f>
        <v>52</v>
      </c>
      <c r="K10" s="34" t="n">
        <f aca="false">IF(H10=1,Inputs!$C$34,Inputs!$G$23)</f>
        <v>0.93</v>
      </c>
      <c r="L10" s="26" t="n">
        <f aca="false">IF(F10=1,Inputs!$C$32,1)</f>
        <v>1</v>
      </c>
      <c r="M10" s="34" t="n">
        <f aca="false">IF(D10=1,Inputs!$C$30,Inputs!$I$23)</f>
        <v>0.905</v>
      </c>
      <c r="N10" s="32" t="n">
        <f aca="false">I10*Inputs!$B$6*L10*K10*Inputs!$H$23/(J10/Inputs!$B$9)</f>
        <v>14834.2153846154</v>
      </c>
      <c r="O10" s="34" t="n">
        <f aca="false">Inputs!$I$19*Inputs!$I$20*Inputs!$I$21*Inputs!$I$22*M10*Inputs!$I$24*Inputs!$I$25</f>
        <v>0.858771535986534</v>
      </c>
      <c r="P10" s="41" t="n">
        <f aca="false">BaseAnalysis!$K$5</f>
        <v>16780.8</v>
      </c>
      <c r="Q10" s="41" t="n">
        <f aca="false">BaseAnalysis!$K$6</f>
        <v>12904.8936992656</v>
      </c>
      <c r="R10" s="41" t="n">
        <f aca="false">BaseAnalysis!$K$7</f>
        <v>12816.1663934647</v>
      </c>
      <c r="S10" s="41" t="n">
        <f aca="false">BaseAnalysis!$K$8</f>
        <v>14243.7127361751</v>
      </c>
      <c r="T10" s="32" t="n">
        <f aca="false">N10/BaseAnalysis!$D$9</f>
        <v>15601.5050065723</v>
      </c>
      <c r="U10" s="32" t="n">
        <f aca="false">BaseAnalysis!$F$10/(BaseAnalysis!$D$9*M10)</f>
        <v>14364.2093753688</v>
      </c>
      <c r="V10" s="32" t="n">
        <f aca="false">BaseAnalysis!$F$11/(BaseAnalysis!$D$9*M10*Inputs!$I$24)</f>
        <v>24698.220366182</v>
      </c>
      <c r="W10" s="42" t="n">
        <f aca="false">MIN(P10:V10)</f>
        <v>12816.1663934647</v>
      </c>
      <c r="X10" s="43" t="str">
        <f aca="false">INDEX($P$4:$V$4,MATCH(W10,P10:V10,0))</f>
        <v>CNC OP20 finish</v>
      </c>
      <c r="Y10" s="32" t="n">
        <f aca="false">W10*O10</f>
        <v>11006.1588991746</v>
      </c>
      <c r="Z10" s="42" t="n">
        <f aca="false">MIN(Y10,Inputs!$B$7)</f>
        <v>10000</v>
      </c>
      <c r="AA10" s="32" t="n">
        <f aca="false">Z10-$Z$5</f>
        <v>1067.91438786954</v>
      </c>
      <c r="AB10" s="32" t="n">
        <f aca="false">Inputs!$B$7/O10</f>
        <v>11644.540580298</v>
      </c>
      <c r="AC10" s="44" t="n">
        <f aca="false">Y10/Inputs!$B$7-1</f>
        <v>0.100615889917463</v>
      </c>
      <c r="AD10" s="45" t="n">
        <f aca="false">C10*Inputs!$E$29+D10*Inputs!$E$30+E10*Inputs!$E$31+F10*Inputs!$E$32+G10*Inputs!$E$33+H10*Inputs!$E$34</f>
        <v>450000</v>
      </c>
      <c r="AE10" s="45" t="n">
        <f aca="false">C10*Inputs!$F$29+D10*Inputs!$F$30+E10*Inputs!$F$31+F10*Inputs!$F$32+G10*Inputs!$F$33+H10*Inputs!$F$34</f>
        <v>90000</v>
      </c>
    </row>
    <row r="11" customFormat="false" ht="30" hidden="false" customHeight="true" outlineLevel="0" collapsed="false">
      <c r="A11" s="35" t="s">
        <v>187</v>
      </c>
      <c r="B11" s="38" t="s">
        <v>188</v>
      </c>
      <c r="C11" s="39" t="n">
        <v>0</v>
      </c>
      <c r="D11" s="39" t="n">
        <v>0</v>
      </c>
      <c r="E11" s="39" t="n">
        <v>0</v>
      </c>
      <c r="F11" s="39" t="n">
        <v>0</v>
      </c>
      <c r="G11" s="39" t="n">
        <v>0</v>
      </c>
      <c r="H11" s="39" t="n">
        <v>1</v>
      </c>
      <c r="I11" s="20" t="n">
        <f aca="false">IF(G11=1,Inputs!$C$33,Inputs!$D$23)</f>
        <v>2</v>
      </c>
      <c r="J11" s="40" t="n">
        <f aca="false">IF(E11=1,Inputs!$C$31,Inputs!$F$23)</f>
        <v>52</v>
      </c>
      <c r="K11" s="34" t="n">
        <f aca="false">IF(H11=1,Inputs!$C$34,Inputs!$G$23)</f>
        <v>0.96</v>
      </c>
      <c r="L11" s="26" t="n">
        <f aca="false">IF(F11=1,Inputs!$C$32,1)</f>
        <v>1</v>
      </c>
      <c r="M11" s="34" t="n">
        <f aca="false">IF(D11=1,Inputs!$C$30,Inputs!$I$23)</f>
        <v>0.905</v>
      </c>
      <c r="N11" s="32" t="n">
        <f aca="false">I11*Inputs!$B$6*L11*K11*Inputs!$H$23/(J11/Inputs!$B$9)</f>
        <v>10208.4923076923</v>
      </c>
      <c r="O11" s="34" t="n">
        <f aca="false">Inputs!$I$19*Inputs!$I$20*Inputs!$I$21*Inputs!$I$22*M11*Inputs!$I$24*Inputs!$I$25</f>
        <v>0.858771535986534</v>
      </c>
      <c r="P11" s="41" t="n">
        <f aca="false">BaseAnalysis!$K$5</f>
        <v>16780.8</v>
      </c>
      <c r="Q11" s="41" t="n">
        <f aca="false">BaseAnalysis!$K$6</f>
        <v>12904.8936992656</v>
      </c>
      <c r="R11" s="41" t="n">
        <f aca="false">BaseAnalysis!$K$7</f>
        <v>12816.1663934647</v>
      </c>
      <c r="S11" s="41" t="n">
        <f aca="false">BaseAnalysis!$K$8</f>
        <v>14243.7127361751</v>
      </c>
      <c r="T11" s="32" t="n">
        <f aca="false">N11/BaseAnalysis!$D$9</f>
        <v>10736.5195744153</v>
      </c>
      <c r="U11" s="32" t="n">
        <f aca="false">BaseAnalysis!$F$10/(BaseAnalysis!$D$9*M11)</f>
        <v>14364.2093753688</v>
      </c>
      <c r="V11" s="32" t="n">
        <f aca="false">BaseAnalysis!$F$11/(BaseAnalysis!$D$9*M11*Inputs!$I$24)</f>
        <v>24698.220366182</v>
      </c>
      <c r="W11" s="42" t="n">
        <f aca="false">MIN(P11:V11)</f>
        <v>10736.5195744153</v>
      </c>
      <c r="X11" s="43" t="str">
        <f aca="false">INDEX($P$4:$V$4,MATCH(W11,P11:V11,0))</f>
        <v>Anodising (rack batch)</v>
      </c>
      <c r="Y11" s="32" t="n">
        <f aca="false">W11*O11</f>
        <v>9220.21740607015</v>
      </c>
      <c r="Z11" s="42" t="n">
        <f aca="false">MIN(Y11,Inputs!$B$7)</f>
        <v>9220.21740607015</v>
      </c>
      <c r="AA11" s="32" t="n">
        <f aca="false">Z11-$Z$5</f>
        <v>288.13179393969</v>
      </c>
      <c r="AB11" s="32" t="n">
        <f aca="false">Inputs!$B$7/O11</f>
        <v>11644.540580298</v>
      </c>
      <c r="AC11" s="44" t="n">
        <f aca="false">Y11/Inputs!$B$7-1</f>
        <v>-0.0779782593929848</v>
      </c>
      <c r="AD11" s="45" t="n">
        <f aca="false">C11*Inputs!$E$29+D11*Inputs!$E$30+E11*Inputs!$E$31+F11*Inputs!$E$32+G11*Inputs!$E$33+H11*Inputs!$E$34</f>
        <v>10000</v>
      </c>
      <c r="AE11" s="45" t="n">
        <f aca="false">C11*Inputs!$F$29+D11*Inputs!$F$30+E11*Inputs!$F$31+F11*Inputs!$F$32+G11*Inputs!$F$33+H11*Inputs!$F$34</f>
        <v>35000</v>
      </c>
    </row>
    <row r="12" customFormat="false" ht="30" hidden="false" customHeight="true" outlineLevel="0" collapsed="false">
      <c r="A12" s="35" t="s">
        <v>189</v>
      </c>
      <c r="B12" s="38" t="s">
        <v>190</v>
      </c>
      <c r="C12" s="39" t="n">
        <v>1</v>
      </c>
      <c r="D12" s="39" t="n">
        <v>0</v>
      </c>
      <c r="E12" s="39" t="n">
        <v>1</v>
      </c>
      <c r="F12" s="39" t="n">
        <v>0</v>
      </c>
      <c r="G12" s="39" t="n">
        <v>0</v>
      </c>
      <c r="H12" s="39" t="n">
        <v>0</v>
      </c>
      <c r="I12" s="20" t="n">
        <f aca="false">IF(G12=1,Inputs!$C$33,Inputs!$D$23)</f>
        <v>2</v>
      </c>
      <c r="J12" s="40" t="n">
        <f aca="false">IF(E12=1,Inputs!$C$31,Inputs!$F$23)</f>
        <v>46</v>
      </c>
      <c r="K12" s="34" t="n">
        <f aca="false">IF(H12=1,Inputs!$C$34,Inputs!$G$23)</f>
        <v>0.93</v>
      </c>
      <c r="L12" s="26" t="n">
        <f aca="false">IF(F12=1,Inputs!$C$32,1)</f>
        <v>1</v>
      </c>
      <c r="M12" s="34" t="n">
        <f aca="false">IF(D12=1,Inputs!$C$30,Inputs!$I$23)</f>
        <v>0.905</v>
      </c>
      <c r="N12" s="32" t="n">
        <f aca="false">I12*Inputs!$B$6*L12*K12*Inputs!$H$23/(J12/Inputs!$B$9)</f>
        <v>11179.4086956522</v>
      </c>
      <c r="O12" s="34" t="n">
        <f aca="false">Inputs!$I$19*Inputs!$I$20*Inputs!$I$21*Inputs!$I$22*M12*Inputs!$I$24*Inputs!$I$25</f>
        <v>0.858771535986534</v>
      </c>
      <c r="P12" s="41" t="n">
        <f aca="false">BaseAnalysis!$K$5</f>
        <v>16780.8</v>
      </c>
      <c r="Q12" s="41" t="n">
        <f aca="false">BaseAnalysis!$K$6</f>
        <v>12904.8936992656</v>
      </c>
      <c r="R12" s="41" t="n">
        <f aca="false">BaseAnalysis!$K$7</f>
        <v>12816.1663934647</v>
      </c>
      <c r="S12" s="41" t="n">
        <f aca="false">BaseAnalysis!$K$8</f>
        <v>14243.7127361751</v>
      </c>
      <c r="T12" s="32" t="n">
        <f aca="false">N12/BaseAnalysis!$D$9</f>
        <v>11757.655946982</v>
      </c>
      <c r="U12" s="32" t="n">
        <f aca="false">BaseAnalysis!$F$10/(BaseAnalysis!$D$9*M12)</f>
        <v>14364.2093753688</v>
      </c>
      <c r="V12" s="32" t="n">
        <f aca="false">BaseAnalysis!$F$11/(BaseAnalysis!$D$9*M12*Inputs!$I$24)</f>
        <v>24698.220366182</v>
      </c>
      <c r="W12" s="42" t="n">
        <f aca="false">MIN(P12:V12)</f>
        <v>11757.655946982</v>
      </c>
      <c r="X12" s="43" t="str">
        <f aca="false">INDEX($P$4:$V$4,MATCH(W12,P12:V12,0))</f>
        <v>Anodising (rack batch)</v>
      </c>
      <c r="Y12" s="32" t="n">
        <f aca="false">W12*O12</f>
        <v>10097.140257191</v>
      </c>
      <c r="Z12" s="42" t="n">
        <f aca="false">MIN(Y12,Inputs!$B$7)</f>
        <v>10000</v>
      </c>
      <c r="AA12" s="32" t="n">
        <f aca="false">Z12-$Z$5</f>
        <v>1067.91438786954</v>
      </c>
      <c r="AB12" s="32" t="n">
        <f aca="false">Inputs!$B$7/O12</f>
        <v>11644.540580298</v>
      </c>
      <c r="AC12" s="44" t="n">
        <f aca="false">Y12/Inputs!$B$7-1</f>
        <v>0.00971402571909574</v>
      </c>
      <c r="AD12" s="45" t="n">
        <f aca="false">C12*Inputs!$E$29+D12*Inputs!$E$30+E12*Inputs!$E$31+F12*Inputs!$E$32+G12*Inputs!$E$33+H12*Inputs!$E$34</f>
        <v>50000</v>
      </c>
      <c r="AE12" s="45" t="n">
        <f aca="false">C12*Inputs!$F$29+D12*Inputs!$F$30+E12*Inputs!$F$31+F12*Inputs!$F$32+G12*Inputs!$F$33+H12*Inputs!$F$34</f>
        <v>0</v>
      </c>
    </row>
    <row r="13" customFormat="false" ht="30" hidden="false" customHeight="true" outlineLevel="0" collapsed="false">
      <c r="A13" s="35" t="s">
        <v>191</v>
      </c>
      <c r="B13" s="38" t="s">
        <v>192</v>
      </c>
      <c r="C13" s="39" t="n">
        <v>1</v>
      </c>
      <c r="D13" s="39" t="n">
        <v>1</v>
      </c>
      <c r="E13" s="39" t="n">
        <v>1</v>
      </c>
      <c r="F13" s="39" t="n">
        <v>0</v>
      </c>
      <c r="G13" s="39" t="n">
        <v>0</v>
      </c>
      <c r="H13" s="39" t="n">
        <v>0</v>
      </c>
      <c r="I13" s="20" t="n">
        <f aca="false">IF(G13=1,Inputs!$C$33,Inputs!$D$23)</f>
        <v>2</v>
      </c>
      <c r="J13" s="40" t="n">
        <f aca="false">IF(E13=1,Inputs!$C$31,Inputs!$F$23)</f>
        <v>46</v>
      </c>
      <c r="K13" s="34" t="n">
        <f aca="false">IF(H13=1,Inputs!$C$34,Inputs!$G$23)</f>
        <v>0.93</v>
      </c>
      <c r="L13" s="26" t="n">
        <f aca="false">IF(F13=1,Inputs!$C$32,1)</f>
        <v>1</v>
      </c>
      <c r="M13" s="34" t="n">
        <f aca="false">IF(D13=1,Inputs!$C$30,Inputs!$I$23)</f>
        <v>0.935</v>
      </c>
      <c r="N13" s="32" t="n">
        <f aca="false">I13*Inputs!$B$6*L13*K13*Inputs!$H$23/(J13/Inputs!$B$9)</f>
        <v>11179.4086956522</v>
      </c>
      <c r="O13" s="34" t="n">
        <f aca="false">Inputs!$I$19*Inputs!$I$20*Inputs!$I$21*Inputs!$I$22*M13*Inputs!$I$24*Inputs!$I$25</f>
        <v>0.887239100715369</v>
      </c>
      <c r="P13" s="41" t="n">
        <f aca="false">BaseAnalysis!$K$5</f>
        <v>16780.8</v>
      </c>
      <c r="Q13" s="41" t="n">
        <f aca="false">BaseAnalysis!$K$6</f>
        <v>12904.8936992656</v>
      </c>
      <c r="R13" s="41" t="n">
        <f aca="false">BaseAnalysis!$K$7</f>
        <v>12816.1663934647</v>
      </c>
      <c r="S13" s="41" t="n">
        <f aca="false">BaseAnalysis!$K$8</f>
        <v>14243.7127361751</v>
      </c>
      <c r="T13" s="32" t="n">
        <f aca="false">N13/BaseAnalysis!$D$9</f>
        <v>11757.655946982</v>
      </c>
      <c r="U13" s="32" t="n">
        <f aca="false">BaseAnalysis!$F$10/(BaseAnalysis!$D$9*M13)</f>
        <v>13903.3256520949</v>
      </c>
      <c r="V13" s="32" t="n">
        <f aca="false">BaseAnalysis!$F$11/(BaseAnalysis!$D$9*M13*Inputs!$I$24)</f>
        <v>23905.7640977483</v>
      </c>
      <c r="W13" s="42" t="n">
        <f aca="false">MIN(P13:V13)</f>
        <v>11757.655946982</v>
      </c>
      <c r="X13" s="43" t="str">
        <f aca="false">INDEX($P$4:$V$4,MATCH(W13,P13:V13,0))</f>
        <v>Anodising (rack batch)</v>
      </c>
      <c r="Y13" s="32" t="n">
        <f aca="false">W13*O13</f>
        <v>10431.852088921</v>
      </c>
      <c r="Z13" s="42" t="n">
        <f aca="false">MIN(Y13,Inputs!$B$7)</f>
        <v>10000</v>
      </c>
      <c r="AA13" s="32" t="n">
        <f aca="false">Z13-$Z$5</f>
        <v>1067.91438786954</v>
      </c>
      <c r="AB13" s="32" t="n">
        <f aca="false">Inputs!$B$7/O13</f>
        <v>11270.9189574007</v>
      </c>
      <c r="AC13" s="44" t="n">
        <f aca="false">Y13/Inputs!$B$7-1</f>
        <v>0.0431852088921045</v>
      </c>
      <c r="AD13" s="45" t="n">
        <f aca="false">C13*Inputs!$E$29+D13*Inputs!$E$30+E13*Inputs!$E$31+F13*Inputs!$E$32+G13*Inputs!$E$33+H13*Inputs!$E$34</f>
        <v>70000</v>
      </c>
      <c r="AE13" s="45" t="n">
        <f aca="false">C13*Inputs!$F$29+D13*Inputs!$F$30+E13*Inputs!$F$31+F13*Inputs!$F$32+G13*Inputs!$F$33+H13*Inputs!$F$34</f>
        <v>60000</v>
      </c>
    </row>
    <row r="14" customFormat="false" ht="30" hidden="false" customHeight="true" outlineLevel="0" collapsed="false">
      <c r="A14" s="35" t="s">
        <v>193</v>
      </c>
      <c r="B14" s="38" t="s">
        <v>194</v>
      </c>
      <c r="C14" s="39" t="n">
        <v>1</v>
      </c>
      <c r="D14" s="39" t="n">
        <v>0</v>
      </c>
      <c r="E14" s="39" t="n">
        <v>1</v>
      </c>
      <c r="F14" s="39" t="n">
        <v>0</v>
      </c>
      <c r="G14" s="39" t="n">
        <v>0</v>
      </c>
      <c r="H14" s="39" t="n">
        <v>1</v>
      </c>
      <c r="I14" s="20" t="n">
        <f aca="false">IF(G14=1,Inputs!$C$33,Inputs!$D$23)</f>
        <v>2</v>
      </c>
      <c r="J14" s="40" t="n">
        <f aca="false">IF(E14=1,Inputs!$C$31,Inputs!$F$23)</f>
        <v>46</v>
      </c>
      <c r="K14" s="34" t="n">
        <f aca="false">IF(H14=1,Inputs!$C$34,Inputs!$G$23)</f>
        <v>0.96</v>
      </c>
      <c r="L14" s="26" t="n">
        <f aca="false">IF(F14=1,Inputs!$C$32,1)</f>
        <v>1</v>
      </c>
      <c r="M14" s="34" t="n">
        <f aca="false">IF(D14=1,Inputs!$C$30,Inputs!$I$23)</f>
        <v>0.905</v>
      </c>
      <c r="N14" s="32" t="n">
        <f aca="false">I14*Inputs!$B$6*L14*K14*Inputs!$H$23/(J14/Inputs!$B$9)</f>
        <v>11540.0347826087</v>
      </c>
      <c r="O14" s="34" t="n">
        <f aca="false">Inputs!$I$19*Inputs!$I$20*Inputs!$I$21*Inputs!$I$22*M14*Inputs!$I$24*Inputs!$I$25</f>
        <v>0.858771535986534</v>
      </c>
      <c r="P14" s="41" t="n">
        <f aca="false">BaseAnalysis!$K$5</f>
        <v>16780.8</v>
      </c>
      <c r="Q14" s="41" t="n">
        <f aca="false">BaseAnalysis!$K$6</f>
        <v>12904.8936992656</v>
      </c>
      <c r="R14" s="41" t="n">
        <f aca="false">BaseAnalysis!$K$7</f>
        <v>12816.1663934647</v>
      </c>
      <c r="S14" s="41" t="n">
        <f aca="false">BaseAnalysis!$K$8</f>
        <v>14243.7127361751</v>
      </c>
      <c r="T14" s="32" t="n">
        <f aca="false">N14/BaseAnalysis!$D$9</f>
        <v>12136.9351710782</v>
      </c>
      <c r="U14" s="32" t="n">
        <f aca="false">BaseAnalysis!$F$10/(BaseAnalysis!$D$9*M14)</f>
        <v>14364.2093753688</v>
      </c>
      <c r="V14" s="32" t="n">
        <f aca="false">BaseAnalysis!$F$11/(BaseAnalysis!$D$9*M14*Inputs!$I$24)</f>
        <v>24698.220366182</v>
      </c>
      <c r="W14" s="42" t="n">
        <f aca="false">MIN(P14:V14)</f>
        <v>12136.9351710782</v>
      </c>
      <c r="X14" s="43" t="str">
        <f aca="false">INDEX($P$4:$V$4,MATCH(W14,P14:V14,0))</f>
        <v>Anodising (rack batch)</v>
      </c>
      <c r="Y14" s="32" t="n">
        <f aca="false">W14*O14</f>
        <v>10422.8544590358</v>
      </c>
      <c r="Z14" s="42" t="n">
        <f aca="false">MIN(Y14,Inputs!$B$7)</f>
        <v>10000</v>
      </c>
      <c r="AA14" s="32" t="n">
        <f aca="false">Z14-$Z$5</f>
        <v>1067.91438786954</v>
      </c>
      <c r="AB14" s="32" t="n">
        <f aca="false">Inputs!$B$7/O14</f>
        <v>11644.540580298</v>
      </c>
      <c r="AC14" s="44" t="n">
        <f aca="false">Y14/Inputs!$B$7-1</f>
        <v>0.0422854459035824</v>
      </c>
      <c r="AD14" s="45" t="n">
        <f aca="false">C14*Inputs!$E$29+D14*Inputs!$E$30+E14*Inputs!$E$31+F14*Inputs!$E$32+G14*Inputs!$E$33+H14*Inputs!$E$34</f>
        <v>60000</v>
      </c>
      <c r="AE14" s="45" t="n">
        <f aca="false">C14*Inputs!$F$29+D14*Inputs!$F$30+E14*Inputs!$F$31+F14*Inputs!$F$32+G14*Inputs!$F$33+H14*Inputs!$F$34</f>
        <v>35000</v>
      </c>
    </row>
    <row r="15" customFormat="false" ht="30" hidden="false" customHeight="true" outlineLevel="0" collapsed="false">
      <c r="A15" s="35" t="s">
        <v>195</v>
      </c>
      <c r="B15" s="38" t="s">
        <v>196</v>
      </c>
      <c r="C15" s="39" t="n">
        <v>1</v>
      </c>
      <c r="D15" s="39" t="n">
        <v>0</v>
      </c>
      <c r="E15" s="39" t="n">
        <v>0</v>
      </c>
      <c r="F15" s="39" t="n">
        <v>0</v>
      </c>
      <c r="G15" s="39" t="n">
        <v>1</v>
      </c>
      <c r="H15" s="39" t="n">
        <v>0</v>
      </c>
      <c r="I15" s="20" t="n">
        <f aca="false">IF(G15=1,Inputs!$C$33,Inputs!$D$23)</f>
        <v>3</v>
      </c>
      <c r="J15" s="40" t="n">
        <f aca="false">IF(E15=1,Inputs!$C$31,Inputs!$F$23)</f>
        <v>52</v>
      </c>
      <c r="K15" s="34" t="n">
        <f aca="false">IF(H15=1,Inputs!$C$34,Inputs!$G$23)</f>
        <v>0.93</v>
      </c>
      <c r="L15" s="26" t="n">
        <f aca="false">IF(F15=1,Inputs!$C$32,1)</f>
        <v>1</v>
      </c>
      <c r="M15" s="34" t="n">
        <f aca="false">IF(D15=1,Inputs!$C$30,Inputs!$I$23)</f>
        <v>0.905</v>
      </c>
      <c r="N15" s="32" t="n">
        <f aca="false">I15*Inputs!$B$6*L15*K15*Inputs!$H$23/(J15/Inputs!$B$9)</f>
        <v>14834.2153846154</v>
      </c>
      <c r="O15" s="34" t="n">
        <f aca="false">Inputs!$I$19*Inputs!$I$20*Inputs!$I$21*Inputs!$I$22*M15*Inputs!$I$24*Inputs!$I$25</f>
        <v>0.858771535986534</v>
      </c>
      <c r="P15" s="41" t="n">
        <f aca="false">BaseAnalysis!$K$5</f>
        <v>16780.8</v>
      </c>
      <c r="Q15" s="41" t="n">
        <f aca="false">BaseAnalysis!$K$6</f>
        <v>12904.8936992656</v>
      </c>
      <c r="R15" s="41" t="n">
        <f aca="false">BaseAnalysis!$K$7</f>
        <v>12816.1663934647</v>
      </c>
      <c r="S15" s="41" t="n">
        <f aca="false">BaseAnalysis!$K$8</f>
        <v>14243.7127361751</v>
      </c>
      <c r="T15" s="32" t="n">
        <f aca="false">N15/BaseAnalysis!$D$9</f>
        <v>15601.5050065723</v>
      </c>
      <c r="U15" s="32" t="n">
        <f aca="false">BaseAnalysis!$F$10/(BaseAnalysis!$D$9*M15)</f>
        <v>14364.2093753688</v>
      </c>
      <c r="V15" s="32" t="n">
        <f aca="false">BaseAnalysis!$F$11/(BaseAnalysis!$D$9*M15*Inputs!$I$24)</f>
        <v>24698.220366182</v>
      </c>
      <c r="W15" s="42" t="n">
        <f aca="false">MIN(P15:V15)</f>
        <v>12816.1663934647</v>
      </c>
      <c r="X15" s="43" t="str">
        <f aca="false">INDEX($P$4:$V$4,MATCH(W15,P15:V15,0))</f>
        <v>CNC OP20 finish</v>
      </c>
      <c r="Y15" s="32" t="n">
        <f aca="false">W15*O15</f>
        <v>11006.1588991746</v>
      </c>
      <c r="Z15" s="42" t="n">
        <f aca="false">MIN(Y15,Inputs!$B$7)</f>
        <v>10000</v>
      </c>
      <c r="AA15" s="32" t="n">
        <f aca="false">Z15-$Z$5</f>
        <v>1067.91438786954</v>
      </c>
      <c r="AB15" s="32" t="n">
        <f aca="false">Inputs!$B$7/O15</f>
        <v>11644.540580298</v>
      </c>
      <c r="AC15" s="44" t="n">
        <f aca="false">Y15/Inputs!$B$7-1</f>
        <v>0.100615889917463</v>
      </c>
      <c r="AD15" s="45" t="n">
        <f aca="false">C15*Inputs!$E$29+D15*Inputs!$E$30+E15*Inputs!$E$31+F15*Inputs!$E$32+G15*Inputs!$E$33+H15*Inputs!$E$34</f>
        <v>460000</v>
      </c>
      <c r="AE15" s="45" t="n">
        <f aca="false">C15*Inputs!$F$29+D15*Inputs!$F$30+E15*Inputs!$F$31+F15*Inputs!$F$32+G15*Inputs!$F$33+H15*Inputs!$F$34</f>
        <v>90000</v>
      </c>
    </row>
    <row r="16" customFormat="false" ht="30" hidden="false" customHeight="true" outlineLevel="0" collapsed="false">
      <c r="A16" s="35" t="s">
        <v>197</v>
      </c>
      <c r="B16" s="38" t="s">
        <v>198</v>
      </c>
      <c r="C16" s="39" t="n">
        <v>1</v>
      </c>
      <c r="D16" s="39" t="n">
        <v>1</v>
      </c>
      <c r="E16" s="39" t="n">
        <v>1</v>
      </c>
      <c r="F16" s="39" t="n">
        <v>1</v>
      </c>
      <c r="G16" s="39" t="n">
        <v>1</v>
      </c>
      <c r="H16" s="39" t="n">
        <v>1</v>
      </c>
      <c r="I16" s="20" t="n">
        <f aca="false">IF(G16=1,Inputs!$C$33,Inputs!$D$23)</f>
        <v>3</v>
      </c>
      <c r="J16" s="40" t="n">
        <f aca="false">IF(E16=1,Inputs!$C$31,Inputs!$F$23)</f>
        <v>46</v>
      </c>
      <c r="K16" s="34" t="n">
        <f aca="false">IF(H16=1,Inputs!$C$34,Inputs!$G$23)</f>
        <v>0.96</v>
      </c>
      <c r="L16" s="26" t="n">
        <f aca="false">IF(F16=1,Inputs!$C$32,1)</f>
        <v>1.16666666666667</v>
      </c>
      <c r="M16" s="34" t="n">
        <f aca="false">IF(D16=1,Inputs!$C$30,Inputs!$I$23)</f>
        <v>0.935</v>
      </c>
      <c r="N16" s="32" t="n">
        <f aca="false">I16*Inputs!$B$6*L16*K16*Inputs!$H$23/(J16/Inputs!$B$9)</f>
        <v>20195.0608695652</v>
      </c>
      <c r="O16" s="34" t="n">
        <f aca="false">Inputs!$I$19*Inputs!$I$20*Inputs!$I$21*Inputs!$I$22*M16*Inputs!$I$24*Inputs!$I$25</f>
        <v>0.887239100715369</v>
      </c>
      <c r="P16" s="41" t="n">
        <f aca="false">BaseAnalysis!$K$5</f>
        <v>16780.8</v>
      </c>
      <c r="Q16" s="41" t="n">
        <f aca="false">BaseAnalysis!$K$6</f>
        <v>12904.8936992656</v>
      </c>
      <c r="R16" s="41" t="n">
        <f aca="false">BaseAnalysis!$K$7</f>
        <v>12816.1663934647</v>
      </c>
      <c r="S16" s="41" t="n">
        <f aca="false">BaseAnalysis!$K$8</f>
        <v>14243.7127361751</v>
      </c>
      <c r="T16" s="32" t="n">
        <f aca="false">N16/BaseAnalysis!$D$9</f>
        <v>21239.6365493869</v>
      </c>
      <c r="U16" s="32" t="n">
        <f aca="false">BaseAnalysis!$F$10/(BaseAnalysis!$D$9*M16)</f>
        <v>13903.3256520949</v>
      </c>
      <c r="V16" s="32" t="n">
        <f aca="false">BaseAnalysis!$F$11/(BaseAnalysis!$D$9*M16*Inputs!$I$24)</f>
        <v>23905.7640977483</v>
      </c>
      <c r="W16" s="42" t="n">
        <f aca="false">MIN(P16:V16)</f>
        <v>12816.1663934647</v>
      </c>
      <c r="X16" s="43" t="str">
        <f aca="false">INDEX($P$4:$V$4,MATCH(W16,P16:V16,0))</f>
        <v>CNC OP20 finish</v>
      </c>
      <c r="Y16" s="32" t="n">
        <f aca="false">W16*O16</f>
        <v>11371.0039455561</v>
      </c>
      <c r="Z16" s="42" t="n">
        <f aca="false">MIN(Y16,Inputs!$B$7)</f>
        <v>10000</v>
      </c>
      <c r="AA16" s="32" t="n">
        <f aca="false">Z16-$Z$5</f>
        <v>1067.91438786954</v>
      </c>
      <c r="AB16" s="32" t="n">
        <f aca="false">Inputs!$B$7/O16</f>
        <v>11270.9189574007</v>
      </c>
      <c r="AC16" s="44" t="n">
        <f aca="false">Y16/Inputs!$B$7-1</f>
        <v>0.137100394555611</v>
      </c>
      <c r="AD16" s="45" t="n">
        <f aca="false">C16*Inputs!$E$29+D16*Inputs!$E$30+E16*Inputs!$E$31+F16*Inputs!$E$32+G16*Inputs!$E$33+H16*Inputs!$E$34</f>
        <v>530000</v>
      </c>
      <c r="AE16" s="45" t="n">
        <f aca="false">C16*Inputs!$F$29+D16*Inputs!$F$30+E16*Inputs!$F$31+F16*Inputs!$F$32+G16*Inputs!$F$33+H16*Inputs!$F$34</f>
        <v>305000</v>
      </c>
    </row>
  </sheetData>
  <conditionalFormatting sqref="AC5:AC16">
    <cfRule type="expression" priority="2" aboveAverage="0" equalAverage="0" bottom="0" percent="0" rank="0" text="" dxfId="0">
      <formula>AC5&lt;0</formula>
    </cfRule>
    <cfRule type="expression" priority="3" aboveAverage="0" equalAverage="0" bottom="0" percent="0" rank="0" text="" dxfId="2">
      <formula>AC5&gt;=0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8" min="7" style="0" width="12"/>
    <col collapsed="false" customWidth="true" hidden="false" outlineLevel="0" max="16" min="9" style="0" width="11"/>
    <col collapsed="false" customWidth="true" hidden="false" outlineLevel="0" max="17" min="17" style="0" width="12"/>
  </cols>
  <sheetData>
    <row r="1" customFormat="false" ht="17.35" hidden="false" customHeight="false" outlineLevel="0" collapsed="false">
      <c r="A1" s="1" t="s">
        <v>199</v>
      </c>
    </row>
    <row r="2" customFormat="false" ht="15" hidden="false" customHeight="false" outlineLevel="0" collapsed="false">
      <c r="A2" s="2" t="s">
        <v>200</v>
      </c>
    </row>
    <row r="4" customFormat="false" ht="57.75" hidden="false" customHeight="true" outlineLevel="0" collapsed="false">
      <c r="A4" s="19" t="s">
        <v>161</v>
      </c>
      <c r="B4" s="19" t="s">
        <v>162</v>
      </c>
      <c r="C4" s="19" t="s">
        <v>201</v>
      </c>
      <c r="D4" s="19" t="s">
        <v>202</v>
      </c>
      <c r="E4" s="19" t="s">
        <v>203</v>
      </c>
      <c r="F4" s="19" t="s">
        <v>204</v>
      </c>
      <c r="G4" s="19" t="s">
        <v>205</v>
      </c>
      <c r="H4" s="19" t="s">
        <v>206</v>
      </c>
      <c r="I4" s="19" t="s">
        <v>207</v>
      </c>
      <c r="J4" s="19" t="s">
        <v>88</v>
      </c>
      <c r="K4" s="19" t="s">
        <v>91</v>
      </c>
      <c r="L4" s="19" t="s">
        <v>93</v>
      </c>
      <c r="M4" s="19" t="s">
        <v>95</v>
      </c>
      <c r="N4" s="19" t="s">
        <v>100</v>
      </c>
      <c r="O4" s="19" t="s">
        <v>102</v>
      </c>
      <c r="Q4" s="19" t="s">
        <v>208</v>
      </c>
    </row>
    <row r="5" customFormat="false" ht="15" hidden="false" customHeight="false" outlineLevel="0" collapsed="false">
      <c r="A5" s="35" t="s">
        <v>177</v>
      </c>
      <c r="B5" s="7" t="s">
        <v>178</v>
      </c>
      <c r="C5" s="46" t="s">
        <v>209</v>
      </c>
      <c r="D5" s="47" t="n">
        <v>8938</v>
      </c>
      <c r="E5" s="47" t="n">
        <v>43.3</v>
      </c>
      <c r="F5" s="47" t="n">
        <v>36.2</v>
      </c>
      <c r="G5" s="47" t="n">
        <v>6268.9</v>
      </c>
      <c r="H5" s="48" t="n">
        <v>67.36</v>
      </c>
      <c r="I5" s="49" t="n">
        <v>0.93</v>
      </c>
      <c r="J5" s="49" t="n">
        <v>0.639</v>
      </c>
      <c r="K5" s="49" t="n">
        <v>0.812</v>
      </c>
      <c r="L5" s="49" t="n">
        <v>0.818</v>
      </c>
      <c r="M5" s="49" t="n">
        <v>0.777</v>
      </c>
      <c r="N5" s="49" t="n">
        <v>0.695</v>
      </c>
      <c r="O5" s="49" t="n">
        <v>0.409</v>
      </c>
      <c r="Q5" s="47"/>
    </row>
    <row r="6" customFormat="false" ht="15" hidden="false" customHeight="false" outlineLevel="0" collapsed="false">
      <c r="A6" s="35" t="s">
        <v>179</v>
      </c>
      <c r="B6" s="7" t="s">
        <v>180</v>
      </c>
      <c r="C6" s="46" t="s">
        <v>112</v>
      </c>
      <c r="D6" s="47" t="n">
        <v>8937.8</v>
      </c>
      <c r="E6" s="47" t="n">
        <v>43.2</v>
      </c>
      <c r="F6" s="47" t="n">
        <v>36.1</v>
      </c>
      <c r="G6" s="47" t="n">
        <v>495</v>
      </c>
      <c r="H6" s="48" t="n">
        <v>5.32</v>
      </c>
      <c r="I6" s="49" t="n">
        <v>0.93</v>
      </c>
      <c r="J6" s="49" t="n">
        <v>0.571</v>
      </c>
      <c r="K6" s="49" t="n">
        <v>0.725</v>
      </c>
      <c r="L6" s="49" t="n">
        <v>0.731</v>
      </c>
      <c r="M6" s="49" t="n">
        <v>0.694</v>
      </c>
      <c r="N6" s="49" t="n">
        <v>0.696</v>
      </c>
      <c r="O6" s="49" t="n">
        <v>0.409</v>
      </c>
      <c r="Q6" s="47" t="n">
        <v>400</v>
      </c>
    </row>
    <row r="7" customFormat="false" ht="15" hidden="false" customHeight="false" outlineLevel="0" collapsed="false">
      <c r="A7" s="35" t="s">
        <v>181</v>
      </c>
      <c r="B7" s="7" t="s">
        <v>182</v>
      </c>
      <c r="C7" s="46" t="s">
        <v>209</v>
      </c>
      <c r="D7" s="47" t="n">
        <v>9235.5</v>
      </c>
      <c r="E7" s="47" t="n">
        <v>38.9</v>
      </c>
      <c r="F7" s="47" t="n">
        <v>32.5</v>
      </c>
      <c r="G7" s="47" t="n">
        <v>4505.6</v>
      </c>
      <c r="H7" s="48" t="n">
        <v>46.86</v>
      </c>
      <c r="I7" s="49" t="n">
        <v>0.93</v>
      </c>
      <c r="J7" s="49" t="n">
        <v>0.618</v>
      </c>
      <c r="K7" s="49" t="n">
        <v>0.786</v>
      </c>
      <c r="L7" s="49" t="n">
        <v>0.791</v>
      </c>
      <c r="M7" s="49" t="n">
        <v>0.752</v>
      </c>
      <c r="N7" s="49" t="n">
        <v>0.719</v>
      </c>
      <c r="O7" s="49" t="n">
        <v>0.422</v>
      </c>
      <c r="Q7" s="47"/>
    </row>
    <row r="8" customFormat="false" ht="15" hidden="false" customHeight="false" outlineLevel="0" collapsed="false">
      <c r="A8" s="35" t="s">
        <v>183</v>
      </c>
      <c r="B8" s="7" t="s">
        <v>184</v>
      </c>
      <c r="C8" s="46" t="s">
        <v>209</v>
      </c>
      <c r="D8" s="47" t="n">
        <v>9969.1</v>
      </c>
      <c r="E8" s="47" t="n">
        <v>73.8</v>
      </c>
      <c r="F8" s="47" t="n">
        <v>61.7</v>
      </c>
      <c r="G8" s="47" t="n">
        <v>605.8</v>
      </c>
      <c r="H8" s="48" t="n">
        <v>5.84</v>
      </c>
      <c r="I8" s="49" t="n">
        <v>0.919</v>
      </c>
      <c r="J8" s="49" t="n">
        <v>0.639</v>
      </c>
      <c r="K8" s="49" t="n">
        <v>0.812</v>
      </c>
      <c r="L8" s="49" t="n">
        <v>0.818</v>
      </c>
      <c r="M8" s="49" t="n">
        <v>0.777</v>
      </c>
      <c r="N8" s="49" t="n">
        <v>0.776</v>
      </c>
      <c r="O8" s="49" t="n">
        <v>0.456</v>
      </c>
      <c r="Q8" s="47"/>
    </row>
    <row r="9" customFormat="false" ht="15" hidden="false" customHeight="false" outlineLevel="0" collapsed="false">
      <c r="A9" s="35" t="s">
        <v>185</v>
      </c>
      <c r="B9" s="7" t="s">
        <v>125</v>
      </c>
      <c r="C9" s="46" t="s">
        <v>209</v>
      </c>
      <c r="D9" s="47" t="n">
        <v>9987.3</v>
      </c>
      <c r="E9" s="47" t="n">
        <v>31.3</v>
      </c>
      <c r="F9" s="47" t="n">
        <v>26.1</v>
      </c>
      <c r="G9" s="47" t="n">
        <v>394.8</v>
      </c>
      <c r="H9" s="48" t="n">
        <v>3.8</v>
      </c>
      <c r="I9" s="49" t="n">
        <v>0.89</v>
      </c>
      <c r="J9" s="49" t="n">
        <v>0.639</v>
      </c>
      <c r="K9" s="49" t="n">
        <v>0.812</v>
      </c>
      <c r="L9" s="49" t="n">
        <v>0.818</v>
      </c>
      <c r="M9" s="49" t="n">
        <v>0.777</v>
      </c>
      <c r="N9" s="49" t="n">
        <v>0.778</v>
      </c>
      <c r="O9" s="49" t="n">
        <v>0.456</v>
      </c>
      <c r="Q9" s="47"/>
    </row>
    <row r="10" customFormat="false" ht="15" hidden="false" customHeight="false" outlineLevel="0" collapsed="false">
      <c r="A10" s="35" t="s">
        <v>186</v>
      </c>
      <c r="B10" s="7" t="s">
        <v>129</v>
      </c>
      <c r="C10" s="46" t="s">
        <v>209</v>
      </c>
      <c r="D10" s="47" t="n">
        <v>9999.4</v>
      </c>
      <c r="E10" s="47" t="n">
        <v>12.9</v>
      </c>
      <c r="F10" s="47" t="n">
        <v>10.8</v>
      </c>
      <c r="G10" s="47" t="n">
        <v>331.4</v>
      </c>
      <c r="H10" s="48" t="n">
        <v>3.18</v>
      </c>
      <c r="I10" s="49" t="n">
        <v>0.694</v>
      </c>
      <c r="J10" s="49" t="n">
        <v>0.639</v>
      </c>
      <c r="K10" s="49" t="n">
        <v>0.812</v>
      </c>
      <c r="L10" s="49" t="n">
        <v>0.818</v>
      </c>
      <c r="M10" s="49" t="n">
        <v>0.777</v>
      </c>
      <c r="N10" s="49" t="n">
        <v>0.778</v>
      </c>
      <c r="O10" s="49" t="n">
        <v>0.457</v>
      </c>
      <c r="Q10" s="47"/>
    </row>
    <row r="11" customFormat="false" ht="15" hidden="false" customHeight="false" outlineLevel="0" collapsed="false">
      <c r="A11" s="35" t="s">
        <v>187</v>
      </c>
      <c r="B11" s="7" t="s">
        <v>188</v>
      </c>
      <c r="C11" s="46" t="s">
        <v>209</v>
      </c>
      <c r="D11" s="47" t="n">
        <v>9207.1</v>
      </c>
      <c r="E11" s="47" t="n">
        <v>81.9</v>
      </c>
      <c r="F11" s="47" t="n">
        <v>68.5</v>
      </c>
      <c r="G11" s="47" t="n">
        <v>4643.9</v>
      </c>
      <c r="H11" s="48" t="n">
        <v>48.43</v>
      </c>
      <c r="I11" s="49" t="n">
        <v>0.959</v>
      </c>
      <c r="J11" s="49" t="n">
        <v>0.639</v>
      </c>
      <c r="K11" s="49" t="n">
        <v>0.812</v>
      </c>
      <c r="L11" s="49" t="n">
        <v>0.818</v>
      </c>
      <c r="M11" s="49" t="n">
        <v>0.777</v>
      </c>
      <c r="N11" s="49" t="n">
        <v>0.717</v>
      </c>
      <c r="O11" s="49" t="n">
        <v>0.42</v>
      </c>
      <c r="Q11" s="47"/>
    </row>
    <row r="12" customFormat="false" ht="15" hidden="false" customHeight="false" outlineLevel="0" collapsed="false">
      <c r="A12" s="35" t="s">
        <v>189</v>
      </c>
      <c r="B12" s="7" t="s">
        <v>190</v>
      </c>
      <c r="C12" s="46" t="s">
        <v>112</v>
      </c>
      <c r="D12" s="47" t="n">
        <v>9967.4</v>
      </c>
      <c r="E12" s="47" t="n">
        <v>74.1</v>
      </c>
      <c r="F12" s="47" t="n">
        <v>61.9</v>
      </c>
      <c r="G12" s="47" t="n">
        <v>546.3</v>
      </c>
      <c r="H12" s="48" t="n">
        <v>5.27</v>
      </c>
      <c r="I12" s="49" t="n">
        <v>0.919</v>
      </c>
      <c r="J12" s="49" t="n">
        <v>0.637</v>
      </c>
      <c r="K12" s="49" t="n">
        <v>0.81</v>
      </c>
      <c r="L12" s="49" t="n">
        <v>0.815</v>
      </c>
      <c r="M12" s="49" t="n">
        <v>0.775</v>
      </c>
      <c r="N12" s="49" t="n">
        <v>0.776</v>
      </c>
      <c r="O12" s="49" t="n">
        <v>0.455</v>
      </c>
      <c r="Q12" s="47" t="n">
        <v>900</v>
      </c>
    </row>
    <row r="13" customFormat="false" ht="15" hidden="false" customHeight="false" outlineLevel="0" collapsed="false">
      <c r="A13" s="35" t="s">
        <v>191</v>
      </c>
      <c r="B13" s="7" t="s">
        <v>192</v>
      </c>
      <c r="C13" s="46" t="s">
        <v>112</v>
      </c>
      <c r="D13" s="47" t="n">
        <v>9991.4</v>
      </c>
      <c r="E13" s="47" t="n">
        <v>23.6</v>
      </c>
      <c r="F13" s="47" t="n">
        <v>19.8</v>
      </c>
      <c r="G13" s="47" t="n">
        <v>396</v>
      </c>
      <c r="H13" s="48" t="n">
        <v>3.81</v>
      </c>
      <c r="I13" s="49" t="n">
        <v>0.891</v>
      </c>
      <c r="J13" s="49" t="n">
        <v>0.618</v>
      </c>
      <c r="K13" s="49" t="n">
        <v>0.786</v>
      </c>
      <c r="L13" s="49" t="n">
        <v>0.791</v>
      </c>
      <c r="M13" s="49" t="n">
        <v>0.751</v>
      </c>
      <c r="N13" s="49" t="n">
        <v>0.778</v>
      </c>
      <c r="O13" s="49" t="n">
        <v>0.457</v>
      </c>
      <c r="Q13" s="47" t="n">
        <v>900</v>
      </c>
    </row>
    <row r="14" customFormat="false" ht="15" hidden="false" customHeight="false" outlineLevel="0" collapsed="false">
      <c r="A14" s="35" t="s">
        <v>193</v>
      </c>
      <c r="B14" s="7" t="s">
        <v>194</v>
      </c>
      <c r="C14" s="46" t="s">
        <v>112</v>
      </c>
      <c r="D14" s="47" t="n">
        <v>10000</v>
      </c>
      <c r="E14" s="47" t="n">
        <v>34.8</v>
      </c>
      <c r="F14" s="47" t="n">
        <v>29.1</v>
      </c>
      <c r="G14" s="47" t="n">
        <v>365.5</v>
      </c>
      <c r="H14" s="48" t="n">
        <v>3.51</v>
      </c>
      <c r="I14" s="49" t="n">
        <v>0.921</v>
      </c>
      <c r="J14" s="49" t="n">
        <v>0.639</v>
      </c>
      <c r="K14" s="49" t="n">
        <v>0.812</v>
      </c>
      <c r="L14" s="49" t="n">
        <v>0.818</v>
      </c>
      <c r="M14" s="49" t="n">
        <v>0.777</v>
      </c>
      <c r="N14" s="49" t="n">
        <v>0.778</v>
      </c>
      <c r="O14" s="49" t="n">
        <v>0.457</v>
      </c>
      <c r="Q14" s="47" t="n">
        <v>900</v>
      </c>
    </row>
    <row r="15" customFormat="false" ht="15" hidden="false" customHeight="false" outlineLevel="0" collapsed="false">
      <c r="A15" s="35" t="s">
        <v>195</v>
      </c>
      <c r="B15" s="7" t="s">
        <v>196</v>
      </c>
      <c r="C15" s="46" t="s">
        <v>112</v>
      </c>
      <c r="D15" s="47" t="n">
        <v>9999.4</v>
      </c>
      <c r="E15" s="47" t="n">
        <v>12.9</v>
      </c>
      <c r="F15" s="47" t="n">
        <v>10.8</v>
      </c>
      <c r="G15" s="47" t="n">
        <v>331.4</v>
      </c>
      <c r="H15" s="48" t="n">
        <v>3.18</v>
      </c>
      <c r="I15" s="49" t="n">
        <v>0.694</v>
      </c>
      <c r="J15" s="49" t="n">
        <v>0.639</v>
      </c>
      <c r="K15" s="49" t="n">
        <v>0.812</v>
      </c>
      <c r="L15" s="49" t="n">
        <v>0.818</v>
      </c>
      <c r="M15" s="49" t="n">
        <v>0.777</v>
      </c>
      <c r="N15" s="49" t="n">
        <v>0.778</v>
      </c>
      <c r="O15" s="49" t="n">
        <v>0.457</v>
      </c>
      <c r="Q15" s="47" t="n">
        <v>900</v>
      </c>
    </row>
    <row r="16" customFormat="false" ht="15" hidden="false" customHeight="false" outlineLevel="0" collapsed="false">
      <c r="A16" s="35" t="s">
        <v>197</v>
      </c>
      <c r="B16" s="7" t="s">
        <v>198</v>
      </c>
      <c r="C16" s="46" t="s">
        <v>112</v>
      </c>
      <c r="D16" s="47" t="n">
        <v>10000.9</v>
      </c>
      <c r="E16" s="47" t="n">
        <v>15.4</v>
      </c>
      <c r="F16" s="47" t="n">
        <v>12.9</v>
      </c>
      <c r="G16" s="47" t="n">
        <v>276.4</v>
      </c>
      <c r="H16" s="48" t="n">
        <v>2.65</v>
      </c>
      <c r="I16" s="49" t="n">
        <v>0.509</v>
      </c>
      <c r="J16" s="49" t="n">
        <v>0.618</v>
      </c>
      <c r="K16" s="49" t="n">
        <v>0.786</v>
      </c>
      <c r="L16" s="49" t="n">
        <v>0.791</v>
      </c>
      <c r="M16" s="49" t="n">
        <v>0.752</v>
      </c>
      <c r="N16" s="49" t="n">
        <v>0.778</v>
      </c>
      <c r="O16" s="49" t="n">
        <v>0.457</v>
      </c>
      <c r="Q16" s="47" t="n">
        <v>900</v>
      </c>
    </row>
    <row r="18" customFormat="false" ht="15" hidden="false" customHeight="false" outlineLevel="0" collapsed="false">
      <c r="A18" s="5" t="s">
        <v>210</v>
      </c>
      <c r="B18" s="6"/>
      <c r="C18" s="6"/>
      <c r="D18" s="6"/>
      <c r="E18" s="6"/>
      <c r="F18" s="6"/>
      <c r="G18" s="6"/>
      <c r="H18" s="6"/>
      <c r="I18" s="6"/>
    </row>
    <row r="19" customFormat="false" ht="43.5" hidden="false" customHeight="true" outlineLevel="0" collapsed="false">
      <c r="A19" s="19"/>
      <c r="B19" s="19" t="s">
        <v>211</v>
      </c>
      <c r="C19" s="19"/>
      <c r="D19" s="19" t="s">
        <v>202</v>
      </c>
      <c r="E19" s="19" t="s">
        <v>203</v>
      </c>
      <c r="F19" s="19" t="s">
        <v>204</v>
      </c>
      <c r="G19" s="19" t="s">
        <v>205</v>
      </c>
      <c r="H19" s="19" t="s">
        <v>206</v>
      </c>
      <c r="I19" s="19" t="s">
        <v>207</v>
      </c>
    </row>
    <row r="20" customFormat="false" ht="15" hidden="false" customHeight="false" outlineLevel="0" collapsed="false">
      <c r="B20" s="47" t="n">
        <v>150</v>
      </c>
      <c r="D20" s="47" t="n">
        <v>8033.6</v>
      </c>
      <c r="E20" s="47" t="n">
        <v>82</v>
      </c>
      <c r="F20" s="47" t="n">
        <v>86.7</v>
      </c>
      <c r="G20" s="47" t="n">
        <v>244.1</v>
      </c>
      <c r="H20" s="48" t="n">
        <v>2.92</v>
      </c>
      <c r="I20" s="49" t="n">
        <v>0.835</v>
      </c>
    </row>
    <row r="21" customFormat="false" ht="15" hidden="false" customHeight="false" outlineLevel="0" collapsed="false">
      <c r="B21" s="47" t="n">
        <v>250</v>
      </c>
      <c r="D21" s="47" t="n">
        <v>8895.2</v>
      </c>
      <c r="E21" s="47" t="n">
        <v>70.1</v>
      </c>
      <c r="F21" s="47" t="n">
        <v>74.1</v>
      </c>
      <c r="G21" s="47" t="n">
        <v>345.1</v>
      </c>
      <c r="H21" s="48" t="n">
        <v>3.72</v>
      </c>
      <c r="I21" s="49" t="n">
        <v>0.925</v>
      </c>
    </row>
    <row r="22" customFormat="false" ht="15" hidden="false" customHeight="false" outlineLevel="0" collapsed="false">
      <c r="B22" s="47" t="n">
        <v>400</v>
      </c>
      <c r="D22" s="47" t="n">
        <v>8946.6</v>
      </c>
      <c r="E22" s="47" t="n">
        <v>50.5</v>
      </c>
      <c r="F22" s="47" t="n">
        <v>53.4</v>
      </c>
      <c r="G22" s="47" t="n">
        <v>494.9</v>
      </c>
      <c r="H22" s="48" t="n">
        <v>5.31</v>
      </c>
      <c r="I22" s="49" t="n">
        <v>0.93</v>
      </c>
    </row>
    <row r="23" customFormat="false" ht="15" hidden="false" customHeight="false" outlineLevel="0" collapsed="false">
      <c r="B23" s="47" t="n">
        <v>600</v>
      </c>
      <c r="D23" s="47" t="n">
        <v>8946.5</v>
      </c>
      <c r="E23" s="47" t="n">
        <v>50.7</v>
      </c>
      <c r="F23" s="47" t="n">
        <v>53.6</v>
      </c>
      <c r="G23" s="47" t="n">
        <v>694.9</v>
      </c>
      <c r="H23" s="48" t="n">
        <v>7.46</v>
      </c>
      <c r="I23" s="49" t="n">
        <v>0.93</v>
      </c>
    </row>
    <row r="24" customFormat="false" ht="15" hidden="false" customHeight="false" outlineLevel="0" collapsed="false">
      <c r="B24" s="47" t="n">
        <v>900</v>
      </c>
      <c r="D24" s="47" t="n">
        <v>8946.5</v>
      </c>
      <c r="E24" s="47" t="n">
        <v>50.7</v>
      </c>
      <c r="F24" s="47" t="n">
        <v>53.6</v>
      </c>
      <c r="G24" s="47" t="n">
        <v>994.9</v>
      </c>
      <c r="H24" s="48" t="n">
        <v>10.68</v>
      </c>
      <c r="I24" s="49" t="n">
        <v>0.93</v>
      </c>
    </row>
    <row r="25" customFormat="false" ht="15" hidden="false" customHeight="false" outlineLevel="0" collapsed="false">
      <c r="B25" s="47" t="n">
        <v>1500</v>
      </c>
      <c r="D25" s="47" t="n">
        <v>8946.5</v>
      </c>
      <c r="E25" s="47" t="n">
        <v>50.7</v>
      </c>
      <c r="F25" s="47" t="n">
        <v>53.6</v>
      </c>
      <c r="G25" s="47" t="n">
        <v>1595</v>
      </c>
      <c r="H25" s="48" t="n">
        <v>17.12</v>
      </c>
      <c r="I25" s="49" t="n">
        <v>0.93</v>
      </c>
    </row>
    <row r="27" customFormat="false" ht="15" hidden="false" customHeight="false" outlineLevel="0" collapsed="false">
      <c r="A27" s="2" t="s">
        <v>212</v>
      </c>
    </row>
    <row r="29" customFormat="false" ht="15" hidden="false" customHeight="false" outlineLevel="0" collapsed="false">
      <c r="A29" s="5" t="s">
        <v>213</v>
      </c>
      <c r="B29" s="6"/>
      <c r="C29" s="6"/>
      <c r="D29" s="6"/>
      <c r="E29" s="6"/>
      <c r="F29" s="6"/>
      <c r="G29" s="6"/>
      <c r="H29" s="6"/>
      <c r="I29" s="6"/>
    </row>
    <row r="30" customFormat="false" ht="43.5" hidden="false" customHeight="true" outlineLevel="0" collapsed="false">
      <c r="A30" s="19"/>
      <c r="B30" s="19" t="s">
        <v>211</v>
      </c>
      <c r="C30" s="19"/>
      <c r="D30" s="19" t="s">
        <v>202</v>
      </c>
      <c r="E30" s="19" t="s">
        <v>203</v>
      </c>
      <c r="F30" s="19" t="s">
        <v>204</v>
      </c>
      <c r="G30" s="19" t="s">
        <v>205</v>
      </c>
      <c r="H30" s="19" t="s">
        <v>206</v>
      </c>
      <c r="I30" s="19" t="s">
        <v>207</v>
      </c>
    </row>
    <row r="31" customFormat="false" ht="15" hidden="false" customHeight="false" outlineLevel="0" collapsed="false">
      <c r="B31" s="47" t="n">
        <v>400</v>
      </c>
      <c r="D31" s="47" t="n">
        <v>9839.2</v>
      </c>
      <c r="E31" s="47" t="n">
        <v>91.4</v>
      </c>
      <c r="F31" s="47" t="n">
        <v>96.7</v>
      </c>
      <c r="G31" s="47" t="n">
        <v>390.1</v>
      </c>
      <c r="H31" s="48" t="n">
        <v>3.81</v>
      </c>
      <c r="I31" s="49" t="n">
        <v>0.905</v>
      </c>
    </row>
    <row r="32" customFormat="false" ht="15" hidden="false" customHeight="false" outlineLevel="0" collapsed="false">
      <c r="B32" s="47" t="n">
        <v>600</v>
      </c>
      <c r="D32" s="47" t="n">
        <v>9933.2</v>
      </c>
      <c r="E32" s="47" t="n">
        <v>80.1</v>
      </c>
      <c r="F32" s="47" t="n">
        <v>84.8</v>
      </c>
      <c r="G32" s="47" t="n">
        <v>464.1</v>
      </c>
      <c r="H32" s="48" t="n">
        <v>4.49</v>
      </c>
      <c r="I32" s="49" t="n">
        <v>0.915</v>
      </c>
    </row>
    <row r="33" customFormat="false" ht="15" hidden="false" customHeight="false" outlineLevel="0" collapsed="false">
      <c r="B33" s="47" t="n">
        <v>900</v>
      </c>
      <c r="D33" s="47" t="n">
        <v>9968.5</v>
      </c>
      <c r="E33" s="47" t="n">
        <v>65.4</v>
      </c>
      <c r="F33" s="47" t="n">
        <v>69.2</v>
      </c>
      <c r="G33" s="47" t="n">
        <v>522.3</v>
      </c>
      <c r="H33" s="48" t="n">
        <v>5.03</v>
      </c>
      <c r="I33" s="49" t="n">
        <v>0.918</v>
      </c>
    </row>
    <row r="34" customFormat="false" ht="15" hidden="false" customHeight="false" outlineLevel="0" collapsed="false">
      <c r="B34" s="47" t="n">
        <v>1500</v>
      </c>
      <c r="D34" s="47" t="n">
        <v>9971.4</v>
      </c>
      <c r="E34" s="47" t="n">
        <v>64.8</v>
      </c>
      <c r="F34" s="47" t="n">
        <v>68.6</v>
      </c>
      <c r="G34" s="47" t="n">
        <v>532.6</v>
      </c>
      <c r="H34" s="48" t="n">
        <v>5.13</v>
      </c>
      <c r="I34" s="49" t="n">
        <v>0.918</v>
      </c>
    </row>
    <row r="36" customFormat="false" ht="15" hidden="false" customHeight="false" outlineLevel="0" collapsed="false">
      <c r="A36" s="2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18" min="3" style="0" width="14"/>
  </cols>
  <sheetData>
    <row r="1" customFormat="false" ht="17.35" hidden="false" customHeight="false" outlineLevel="0" collapsed="false">
      <c r="A1" s="1" t="s">
        <v>215</v>
      </c>
    </row>
    <row r="2" customFormat="false" ht="15" hidden="false" customHeight="false" outlineLevel="0" collapsed="false">
      <c r="A2" s="2" t="s">
        <v>216</v>
      </c>
    </row>
    <row r="4" customFormat="false" ht="57.75" hidden="false" customHeight="true" outlineLevel="0" collapsed="false">
      <c r="A4" s="19" t="s">
        <v>161</v>
      </c>
      <c r="B4" s="19" t="s">
        <v>162</v>
      </c>
      <c r="C4" s="19" t="s">
        <v>217</v>
      </c>
      <c r="D4" s="19" t="s">
        <v>218</v>
      </c>
      <c r="E4" s="19" t="s">
        <v>174</v>
      </c>
      <c r="F4" s="19" t="s">
        <v>219</v>
      </c>
      <c r="G4" s="19" t="s">
        <v>220</v>
      </c>
      <c r="H4" s="19" t="s">
        <v>109</v>
      </c>
      <c r="I4" s="19" t="s">
        <v>110</v>
      </c>
      <c r="J4" s="19" t="s">
        <v>221</v>
      </c>
      <c r="K4" s="19" t="s">
        <v>222</v>
      </c>
      <c r="L4" s="19" t="s">
        <v>223</v>
      </c>
      <c r="M4" s="19" t="s">
        <v>224</v>
      </c>
      <c r="N4" s="19" t="s">
        <v>225</v>
      </c>
      <c r="O4" s="19" t="s">
        <v>226</v>
      </c>
      <c r="P4" s="19" t="s">
        <v>227</v>
      </c>
      <c r="Q4" s="19" t="s">
        <v>228</v>
      </c>
      <c r="R4" s="19" t="s">
        <v>229</v>
      </c>
    </row>
    <row r="5" customFormat="false" ht="30" hidden="false" customHeight="true" outlineLevel="0" collapsed="false">
      <c r="A5" s="50" t="str">
        <f aca="false">Fixes!A5</f>
        <v>C0</v>
      </c>
      <c r="B5" s="51" t="str">
        <f aca="false">Fixes!B5</f>
        <v>Base case (push release)</v>
      </c>
      <c r="C5" s="41" t="n">
        <f aca="false">INDEX(SimResults!$D$5:$D$16,MATCH($A5,SimResults!$A$5:$A$16,0))</f>
        <v>8938</v>
      </c>
      <c r="D5" s="32" t="n">
        <f aca="false">MIN(C5,Inputs!$B$7)</f>
        <v>8938</v>
      </c>
      <c r="E5" s="32" t="n">
        <f aca="false">D5-$D$5</f>
        <v>0</v>
      </c>
      <c r="F5" s="32" t="n">
        <f aca="false">E5*Inputs!$B$8</f>
        <v>0</v>
      </c>
      <c r="G5" s="45" t="n">
        <f aca="false">F5*Inputs!$B$13</f>
        <v>0</v>
      </c>
      <c r="H5" s="52" t="n">
        <f aca="false">Fixes!AD5</f>
        <v>0</v>
      </c>
      <c r="I5" s="52" t="n">
        <f aca="false">Fixes!AE5</f>
        <v>0</v>
      </c>
      <c r="J5" s="45" t="n">
        <f aca="false">H5/Inputs!$B$14+I5</f>
        <v>0</v>
      </c>
      <c r="K5" s="53" t="n">
        <f aca="false">G5-J5</f>
        <v>0</v>
      </c>
      <c r="L5" s="40" t="n">
        <f aca="false">IF(H5=0,0,IF(G5-I5&gt;0,H5/((G5-I5)/12),"n/a"))</f>
        <v>0</v>
      </c>
      <c r="M5" s="44" t="n">
        <f aca="false">INDEX(SimResults!$G$5:$G$16,MATCH($A5,SimResults!$A$5:$A$16,0))/SimResults!$G$5-1</f>
        <v>0</v>
      </c>
      <c r="N5" s="54" t="n">
        <f aca="false">INDEX(SimResults!$H$5:$H$16,MATCH($A5,SimResults!$A$5:$A$16,0))</f>
        <v>67.36</v>
      </c>
      <c r="O5" s="41" t="n">
        <f aca="false">Fixes!Z5</f>
        <v>8932.08561213046</v>
      </c>
      <c r="P5" s="41" t="n">
        <f aca="false">Inputs!$B$7</f>
        <v>10000</v>
      </c>
      <c r="Q5" s="20" t="n">
        <f aca="false">RANK(K5,$K$5:$K$16,0)</f>
        <v>7</v>
      </c>
      <c r="R5" s="45" t="n">
        <f aca="false">K5*Inputs!$B$15</f>
        <v>0</v>
      </c>
    </row>
    <row r="6" customFormat="false" ht="30" hidden="false" customHeight="true" outlineLevel="0" collapsed="false">
      <c r="A6" s="50" t="str">
        <f aca="false">Fixes!A6</f>
        <v>C1</v>
      </c>
      <c r="B6" s="51" t="str">
        <f aca="false">Fixes!B6</f>
        <v>DBR release only</v>
      </c>
      <c r="C6" s="41" t="n">
        <f aca="false">INDEX(SimResults!$D$5:$D$16,MATCH($A6,SimResults!$A$5:$A$16,0))</f>
        <v>8937.8</v>
      </c>
      <c r="D6" s="32" t="n">
        <f aca="false">MIN(C6,Inputs!$B$7)</f>
        <v>8937.8</v>
      </c>
      <c r="E6" s="32" t="n">
        <f aca="false">D6-$D$5</f>
        <v>-0.200000000000728</v>
      </c>
      <c r="F6" s="32" t="n">
        <f aca="false">E6*Inputs!$B$8</f>
        <v>-10.0000000000364</v>
      </c>
      <c r="G6" s="45" t="n">
        <f aca="false">F6*Inputs!$B$13</f>
        <v>-33.5800000001222</v>
      </c>
      <c r="H6" s="52" t="n">
        <f aca="false">Fixes!AD6</f>
        <v>10000</v>
      </c>
      <c r="I6" s="52" t="n">
        <f aca="false">Fixes!AE6</f>
        <v>0</v>
      </c>
      <c r="J6" s="45" t="n">
        <f aca="false">H6/Inputs!$B$14+I6</f>
        <v>3333.33333333333</v>
      </c>
      <c r="K6" s="53" t="n">
        <f aca="false">G6-J6</f>
        <v>-3366.91333333346</v>
      </c>
      <c r="L6" s="40" t="str">
        <f aca="false">IF(H6=0,0,IF(G6-I6&gt;0,H6/((G6-I6)/12),"n/a"))</f>
        <v>n/a</v>
      </c>
      <c r="M6" s="44" t="n">
        <f aca="false">INDEX(SimResults!$G$5:$G$16,MATCH($A6,SimResults!$A$5:$A$16,0))/SimResults!$G$5-1</f>
        <v>-0.921038778733111</v>
      </c>
      <c r="N6" s="54" t="n">
        <f aca="false">INDEX(SimResults!$H$5:$H$16,MATCH($A6,SimResults!$A$5:$A$16,0))</f>
        <v>5.32</v>
      </c>
      <c r="O6" s="41" t="n">
        <f aca="false">Fixes!Z6</f>
        <v>8932.08561213046</v>
      </c>
      <c r="P6" s="41" t="n">
        <f aca="false">Inputs!$B$7</f>
        <v>10000</v>
      </c>
      <c r="Q6" s="20" t="n">
        <f aca="false">RANK(K6,$K$5:$K$16,0)</f>
        <v>8</v>
      </c>
      <c r="R6" s="45" t="n">
        <f aca="false">K6*Inputs!$B$15</f>
        <v>-33669.1333333346</v>
      </c>
    </row>
    <row r="7" customFormat="false" ht="30" hidden="false" customHeight="true" outlineLevel="0" collapsed="false">
      <c r="A7" s="50" t="str">
        <f aca="false">Fixes!A7</f>
        <v>C2</v>
      </c>
      <c r="B7" s="51" t="str">
        <f aca="false">Fixes!B7</f>
        <v>Anodising yield 90.5% to 93.5%</v>
      </c>
      <c r="C7" s="41" t="n">
        <f aca="false">INDEX(SimResults!$D$5:$D$16,MATCH($A7,SimResults!$A$5:$A$16,0))</f>
        <v>9235.5</v>
      </c>
      <c r="D7" s="32" t="n">
        <f aca="false">MIN(C7,Inputs!$B$7)</f>
        <v>9235.5</v>
      </c>
      <c r="E7" s="32" t="n">
        <f aca="false">D7-$D$5</f>
        <v>297.5</v>
      </c>
      <c r="F7" s="32" t="n">
        <f aca="false">E7*Inputs!$B$8</f>
        <v>14875</v>
      </c>
      <c r="G7" s="45" t="n">
        <f aca="false">F7*Inputs!$B$13</f>
        <v>49950.25</v>
      </c>
      <c r="H7" s="52" t="n">
        <f aca="false">Fixes!AD7</f>
        <v>20000</v>
      </c>
      <c r="I7" s="52" t="n">
        <f aca="false">Fixes!AE7</f>
        <v>60000</v>
      </c>
      <c r="J7" s="45" t="n">
        <f aca="false">H7/Inputs!$B$14+I7</f>
        <v>66666.6666666667</v>
      </c>
      <c r="K7" s="53" t="n">
        <f aca="false">G7-J7</f>
        <v>-16716.4166666667</v>
      </c>
      <c r="L7" s="40" t="str">
        <f aca="false">IF(H7=0,0,IF(G7-I7&gt;0,H7/((G7-I7)/12),"n/a"))</f>
        <v>n/a</v>
      </c>
      <c r="M7" s="44" t="n">
        <f aca="false">INDEX(SimResults!$G$5:$G$16,MATCH($A7,SimResults!$A$5:$A$16,0))/SimResults!$G$5-1</f>
        <v>-0.281277417090718</v>
      </c>
      <c r="N7" s="54" t="n">
        <f aca="false">INDEX(SimResults!$H$5:$H$16,MATCH($A7,SimResults!$A$5:$A$16,0))</f>
        <v>46.86</v>
      </c>
      <c r="O7" s="41" t="n">
        <f aca="false">Fixes!Z7</f>
        <v>9228.1768478917</v>
      </c>
      <c r="P7" s="41" t="n">
        <f aca="false">Inputs!$B$7</f>
        <v>10000</v>
      </c>
      <c r="Q7" s="20" t="n">
        <f aca="false">RANK(K7,$K$5:$K$16,0)</f>
        <v>9</v>
      </c>
      <c r="R7" s="45" t="n">
        <f aca="false">K7*Inputs!$B$15</f>
        <v>-167164.166666667</v>
      </c>
    </row>
    <row r="8" customFormat="false" ht="30" hidden="false" customHeight="true" outlineLevel="0" collapsed="false">
      <c r="A8" s="50" t="str">
        <f aca="false">Fixes!A8</f>
        <v>C3</v>
      </c>
      <c r="B8" s="51" t="str">
        <f aca="false">Fixes!B8</f>
        <v>SMED: rack batch 52 to 46 min</v>
      </c>
      <c r="C8" s="41" t="n">
        <f aca="false">INDEX(SimResults!$D$5:$D$16,MATCH($A8,SimResults!$A$5:$A$16,0))</f>
        <v>9969.1</v>
      </c>
      <c r="D8" s="32" t="n">
        <f aca="false">MIN(C8,Inputs!$B$7)</f>
        <v>9969.1</v>
      </c>
      <c r="E8" s="32" t="n">
        <f aca="false">D8-$D$5</f>
        <v>1031.1</v>
      </c>
      <c r="F8" s="32" t="n">
        <f aca="false">E8*Inputs!$B$8</f>
        <v>51555</v>
      </c>
      <c r="G8" s="45" t="n">
        <f aca="false">F8*Inputs!$B$13</f>
        <v>173121.69</v>
      </c>
      <c r="H8" s="52" t="n">
        <f aca="false">Fixes!AD8</f>
        <v>40000</v>
      </c>
      <c r="I8" s="52" t="n">
        <f aca="false">Fixes!AE8</f>
        <v>0</v>
      </c>
      <c r="J8" s="45" t="n">
        <f aca="false">H8/Inputs!$B$14+I8</f>
        <v>13333.3333333333</v>
      </c>
      <c r="K8" s="53" t="n">
        <f aca="false">G8-J8</f>
        <v>159788.356666667</v>
      </c>
      <c r="L8" s="40" t="n">
        <f aca="false">IF(H8=0,0,IF(G8-I8&gt;0,H8/((G8-I8)/12),"n/a"))</f>
        <v>2.77261618691453</v>
      </c>
      <c r="M8" s="44" t="n">
        <f aca="false">INDEX(SimResults!$G$5:$G$16,MATCH($A8,SimResults!$A$5:$A$16,0))/SimResults!$G$5-1</f>
        <v>-0.903364226578826</v>
      </c>
      <c r="N8" s="54" t="n">
        <f aca="false">INDEX(SimResults!$H$5:$H$16,MATCH($A8,SimResults!$A$5:$A$16,0))</f>
        <v>5.84</v>
      </c>
      <c r="O8" s="41" t="n">
        <f aca="false">Fixes!Z8</f>
        <v>10000</v>
      </c>
      <c r="P8" s="41" t="n">
        <f aca="false">Inputs!$B$7</f>
        <v>10000</v>
      </c>
      <c r="Q8" s="20" t="n">
        <f aca="false">RANK(K8,$K$5:$K$16,0)</f>
        <v>1</v>
      </c>
      <c r="R8" s="45" t="n">
        <f aca="false">K8*Inputs!$B$15</f>
        <v>1597883.56666667</v>
      </c>
    </row>
    <row r="9" customFormat="false" ht="30" hidden="false" customHeight="true" outlineLevel="0" collapsed="false">
      <c r="A9" s="50" t="str">
        <f aca="false">Fixes!A9</f>
        <v>C4</v>
      </c>
      <c r="B9" s="51" t="str">
        <f aca="false">Fixes!B9</f>
        <v>Anodising 7 days a week</v>
      </c>
      <c r="C9" s="41" t="n">
        <f aca="false">INDEX(SimResults!$D$5:$D$16,MATCH($A9,SimResults!$A$5:$A$16,0))</f>
        <v>9987.3</v>
      </c>
      <c r="D9" s="32" t="n">
        <f aca="false">MIN(C9,Inputs!$B$7)</f>
        <v>9987.3</v>
      </c>
      <c r="E9" s="32" t="n">
        <f aca="false">D9-$D$5</f>
        <v>1049.3</v>
      </c>
      <c r="F9" s="32" t="n">
        <f aca="false">E9*Inputs!$B$8</f>
        <v>52465</v>
      </c>
      <c r="G9" s="45" t="n">
        <f aca="false">F9*Inputs!$B$13</f>
        <v>176177.47</v>
      </c>
      <c r="H9" s="52" t="n">
        <f aca="false">Fixes!AD9</f>
        <v>0</v>
      </c>
      <c r="I9" s="52" t="n">
        <f aca="false">Fixes!AE9</f>
        <v>120000</v>
      </c>
      <c r="J9" s="45" t="n">
        <f aca="false">H9/Inputs!$B$14+I9</f>
        <v>120000</v>
      </c>
      <c r="K9" s="53" t="n">
        <f aca="false">G9-J9</f>
        <v>56177.4699999999</v>
      </c>
      <c r="L9" s="40" t="n">
        <f aca="false">IF(H9=0,0,IF(G9-I9&gt;0,H9/((G9-I9)/12),"n/a"))</f>
        <v>0</v>
      </c>
      <c r="M9" s="44" t="n">
        <f aca="false">INDEX(SimResults!$G$5:$G$16,MATCH($A9,SimResults!$A$5:$A$16,0))/SimResults!$G$5-1</f>
        <v>-0.937022444128954</v>
      </c>
      <c r="N9" s="54" t="n">
        <f aca="false">INDEX(SimResults!$H$5:$H$16,MATCH($A9,SimResults!$A$5:$A$16,0))</f>
        <v>3.8</v>
      </c>
      <c r="O9" s="41" t="n">
        <f aca="false">Fixes!Z9</f>
        <v>10000</v>
      </c>
      <c r="P9" s="41" t="n">
        <f aca="false">Inputs!$B$7</f>
        <v>10000</v>
      </c>
      <c r="Q9" s="20" t="n">
        <f aca="false">RANK(K9,$K$5:$K$16,0)</f>
        <v>5</v>
      </c>
      <c r="R9" s="45" t="n">
        <f aca="false">K9*Inputs!$B$15</f>
        <v>561774.699999999</v>
      </c>
    </row>
    <row r="10" customFormat="false" ht="30" hidden="false" customHeight="true" outlineLevel="0" collapsed="false">
      <c r="A10" s="50" t="str">
        <f aca="false">Fixes!A10</f>
        <v>C5</v>
      </c>
      <c r="B10" s="51" t="str">
        <f aca="false">Fixes!B10</f>
        <v>Add third anodising line</v>
      </c>
      <c r="C10" s="41" t="n">
        <f aca="false">INDEX(SimResults!$D$5:$D$16,MATCH($A10,SimResults!$A$5:$A$16,0))</f>
        <v>9999.4</v>
      </c>
      <c r="D10" s="32" t="n">
        <f aca="false">MIN(C10,Inputs!$B$7)</f>
        <v>9999.4</v>
      </c>
      <c r="E10" s="32" t="n">
        <f aca="false">D10-$D$5</f>
        <v>1061.4</v>
      </c>
      <c r="F10" s="32" t="n">
        <f aca="false">E10*Inputs!$B$8</f>
        <v>53070</v>
      </c>
      <c r="G10" s="45" t="n">
        <f aca="false">F10*Inputs!$B$13</f>
        <v>178209.06</v>
      </c>
      <c r="H10" s="52" t="n">
        <f aca="false">Fixes!AD10</f>
        <v>450000</v>
      </c>
      <c r="I10" s="52" t="n">
        <f aca="false">Fixes!AE10</f>
        <v>90000</v>
      </c>
      <c r="J10" s="45" t="n">
        <f aca="false">H10/Inputs!$B$14+I10</f>
        <v>240000</v>
      </c>
      <c r="K10" s="53" t="n">
        <f aca="false">G10-J10</f>
        <v>-61790.9400000001</v>
      </c>
      <c r="L10" s="40" t="n">
        <f aca="false">IF(H10=0,0,IF(G10-I10&gt;0,H10/((G10-I10)/12),"n/a"))</f>
        <v>61.218201395639</v>
      </c>
      <c r="M10" s="44" t="n">
        <f aca="false">INDEX(SimResults!$G$5:$G$16,MATCH($A10,SimResults!$A$5:$A$16,0))/SimResults!$G$5-1</f>
        <v>-0.947135861155865</v>
      </c>
      <c r="N10" s="54" t="n">
        <f aca="false">INDEX(SimResults!$H$5:$H$16,MATCH($A10,SimResults!$A$5:$A$16,0))</f>
        <v>3.18</v>
      </c>
      <c r="O10" s="41" t="n">
        <f aca="false">Fixes!Z10</f>
        <v>10000</v>
      </c>
      <c r="P10" s="41" t="n">
        <f aca="false">Inputs!$B$7</f>
        <v>10000</v>
      </c>
      <c r="Q10" s="20" t="n">
        <f aca="false">RANK(K10,$K$5:$K$16,0)</f>
        <v>10</v>
      </c>
      <c r="R10" s="45" t="n">
        <f aca="false">K10*Inputs!$B$15</f>
        <v>-617909.400000001</v>
      </c>
    </row>
    <row r="11" customFormat="false" ht="30" hidden="false" customHeight="true" outlineLevel="0" collapsed="false">
      <c r="A11" s="50" t="str">
        <f aca="false">Fixes!A11</f>
        <v>C6</v>
      </c>
      <c r="B11" s="51" t="str">
        <f aca="false">Fixes!B11</f>
        <v>TPM: anodising availability 96%</v>
      </c>
      <c r="C11" s="41" t="n">
        <f aca="false">INDEX(SimResults!$D$5:$D$16,MATCH($A11,SimResults!$A$5:$A$16,0))</f>
        <v>9207.1</v>
      </c>
      <c r="D11" s="32" t="n">
        <f aca="false">MIN(C11,Inputs!$B$7)</f>
        <v>9207.1</v>
      </c>
      <c r="E11" s="32" t="n">
        <f aca="false">D11-$D$5</f>
        <v>269.1</v>
      </c>
      <c r="F11" s="32" t="n">
        <f aca="false">E11*Inputs!$B$8</f>
        <v>13455</v>
      </c>
      <c r="G11" s="45" t="n">
        <f aca="false">F11*Inputs!$B$13</f>
        <v>45181.8900000001</v>
      </c>
      <c r="H11" s="52" t="n">
        <f aca="false">Fixes!AD11</f>
        <v>10000</v>
      </c>
      <c r="I11" s="52" t="n">
        <f aca="false">Fixes!AE11</f>
        <v>35000</v>
      </c>
      <c r="J11" s="45" t="n">
        <f aca="false">H11/Inputs!$B$14+I11</f>
        <v>38333.3333333333</v>
      </c>
      <c r="K11" s="53" t="n">
        <f aca="false">G11-J11</f>
        <v>6848.55666666672</v>
      </c>
      <c r="L11" s="40" t="n">
        <f aca="false">IF(H11=0,0,IF(G11-I11&gt;0,H11/((G11-I11)/12),"n/a"))</f>
        <v>11.785631154923</v>
      </c>
      <c r="M11" s="44" t="n">
        <f aca="false">INDEX(SimResults!$G$5:$G$16,MATCH($A11,SimResults!$A$5:$A$16,0))/SimResults!$G$5-1</f>
        <v>-0.259216130421605</v>
      </c>
      <c r="N11" s="54" t="n">
        <f aca="false">INDEX(SimResults!$H$5:$H$16,MATCH($A11,SimResults!$A$5:$A$16,0))</f>
        <v>48.43</v>
      </c>
      <c r="O11" s="41" t="n">
        <f aca="false">Fixes!Z11</f>
        <v>9220.21740607015</v>
      </c>
      <c r="P11" s="41" t="n">
        <f aca="false">Inputs!$B$7</f>
        <v>10000</v>
      </c>
      <c r="Q11" s="20" t="n">
        <f aca="false">RANK(K11,$K$5:$K$16,0)</f>
        <v>6</v>
      </c>
      <c r="R11" s="45" t="n">
        <f aca="false">K11*Inputs!$B$15</f>
        <v>68485.5666666672</v>
      </c>
    </row>
    <row r="12" customFormat="false" ht="30" hidden="false" customHeight="true" outlineLevel="0" collapsed="false">
      <c r="A12" s="50" t="str">
        <f aca="false">Fixes!A12</f>
        <v>C7</v>
      </c>
      <c r="B12" s="51" t="str">
        <f aca="false">Fixes!B12</f>
        <v>Low-cost package: DBR + SMED</v>
      </c>
      <c r="C12" s="41" t="n">
        <f aca="false">INDEX(SimResults!$D$5:$D$16,MATCH($A12,SimResults!$A$5:$A$16,0))</f>
        <v>9967.4</v>
      </c>
      <c r="D12" s="32" t="n">
        <f aca="false">MIN(C12,Inputs!$B$7)</f>
        <v>9967.4</v>
      </c>
      <c r="E12" s="32" t="n">
        <f aca="false">D12-$D$5</f>
        <v>1029.4</v>
      </c>
      <c r="F12" s="32" t="n">
        <f aca="false">E12*Inputs!$B$8</f>
        <v>51470</v>
      </c>
      <c r="G12" s="45" t="n">
        <f aca="false">F12*Inputs!$B$13</f>
        <v>172836.26</v>
      </c>
      <c r="H12" s="52" t="n">
        <f aca="false">Fixes!AD12</f>
        <v>50000</v>
      </c>
      <c r="I12" s="52" t="n">
        <f aca="false">Fixes!AE12</f>
        <v>0</v>
      </c>
      <c r="J12" s="45" t="n">
        <f aca="false">H12/Inputs!$B$14+I12</f>
        <v>16666.6666666667</v>
      </c>
      <c r="K12" s="53" t="n">
        <f aca="false">G12-J12</f>
        <v>156169.593333333</v>
      </c>
      <c r="L12" s="40" t="n">
        <f aca="false">IF(H12=0,0,IF(G12-I12&gt;0,H12/((G12-I12)/12),"n/a"))</f>
        <v>3.47149377104087</v>
      </c>
      <c r="M12" s="44" t="n">
        <f aca="false">INDEX(SimResults!$G$5:$G$16,MATCH($A12,SimResults!$A$5:$A$16,0))/SimResults!$G$5-1</f>
        <v>-0.912855524892724</v>
      </c>
      <c r="N12" s="54" t="n">
        <f aca="false">INDEX(SimResults!$H$5:$H$16,MATCH($A12,SimResults!$A$5:$A$16,0))</f>
        <v>5.27</v>
      </c>
      <c r="O12" s="41" t="n">
        <f aca="false">Fixes!Z12</f>
        <v>10000</v>
      </c>
      <c r="P12" s="41" t="n">
        <f aca="false">Inputs!$B$7</f>
        <v>10000</v>
      </c>
      <c r="Q12" s="20" t="n">
        <f aca="false">RANK(K12,$K$5:$K$16,0)</f>
        <v>2</v>
      </c>
      <c r="R12" s="45" t="n">
        <f aca="false">K12*Inputs!$B$15</f>
        <v>1561695.93333333</v>
      </c>
    </row>
    <row r="13" customFormat="false" ht="30" hidden="false" customHeight="true" outlineLevel="0" collapsed="false">
      <c r="A13" s="50" t="str">
        <f aca="false">Fixes!A13</f>
        <v>C8</v>
      </c>
      <c r="B13" s="51" t="str">
        <f aca="false">Fixes!B13</f>
        <v>DBR + SMED + yield at constraint</v>
      </c>
      <c r="C13" s="41" t="n">
        <f aca="false">INDEX(SimResults!$D$5:$D$16,MATCH($A13,SimResults!$A$5:$A$16,0))</f>
        <v>9991.4</v>
      </c>
      <c r="D13" s="32" t="n">
        <f aca="false">MIN(C13,Inputs!$B$7)</f>
        <v>9991.4</v>
      </c>
      <c r="E13" s="32" t="n">
        <f aca="false">D13-$D$5</f>
        <v>1053.4</v>
      </c>
      <c r="F13" s="32" t="n">
        <f aca="false">E13*Inputs!$B$8</f>
        <v>52670</v>
      </c>
      <c r="G13" s="45" t="n">
        <f aca="false">F13*Inputs!$B$13</f>
        <v>176865.86</v>
      </c>
      <c r="H13" s="52" t="n">
        <f aca="false">Fixes!AD13</f>
        <v>70000</v>
      </c>
      <c r="I13" s="52" t="n">
        <f aca="false">Fixes!AE13</f>
        <v>60000</v>
      </c>
      <c r="J13" s="45" t="n">
        <f aca="false">H13/Inputs!$B$14+I13</f>
        <v>83333.3333333333</v>
      </c>
      <c r="K13" s="53" t="n">
        <f aca="false">G13-J13</f>
        <v>93532.5266666666</v>
      </c>
      <c r="L13" s="40" t="n">
        <f aca="false">IF(H13=0,0,IF(G13-I13&gt;0,H13/((G13-I13)/12),"n/a"))</f>
        <v>7.18772787878342</v>
      </c>
      <c r="M13" s="44" t="n">
        <f aca="false">INDEX(SimResults!$G$5:$G$16,MATCH($A13,SimResults!$A$5:$A$16,0))/SimResults!$G$5-1</f>
        <v>-0.936831022986489</v>
      </c>
      <c r="N13" s="54" t="n">
        <f aca="false">INDEX(SimResults!$H$5:$H$16,MATCH($A13,SimResults!$A$5:$A$16,0))</f>
        <v>3.81</v>
      </c>
      <c r="O13" s="41" t="n">
        <f aca="false">Fixes!Z13</f>
        <v>10000</v>
      </c>
      <c r="P13" s="41" t="n">
        <f aca="false">Inputs!$B$7</f>
        <v>10000</v>
      </c>
      <c r="Q13" s="20" t="n">
        <f aca="false">RANK(K13,$K$5:$K$16,0)</f>
        <v>4</v>
      </c>
      <c r="R13" s="45" t="n">
        <f aca="false">K13*Inputs!$B$15</f>
        <v>935325.266666666</v>
      </c>
    </row>
    <row r="14" customFormat="false" ht="30" hidden="false" customHeight="true" outlineLevel="0" collapsed="false">
      <c r="A14" s="50" t="str">
        <f aca="false">Fixes!A14</f>
        <v>C9</v>
      </c>
      <c r="B14" s="51" t="str">
        <f aca="false">Fixes!B14</f>
        <v>DBR + SMED + TPM</v>
      </c>
      <c r="C14" s="41" t="n">
        <f aca="false">INDEX(SimResults!$D$5:$D$16,MATCH($A14,SimResults!$A$5:$A$16,0))</f>
        <v>10000</v>
      </c>
      <c r="D14" s="32" t="n">
        <f aca="false">MIN(C14,Inputs!$B$7)</f>
        <v>10000</v>
      </c>
      <c r="E14" s="32" t="n">
        <f aca="false">D14-$D$5</f>
        <v>1062</v>
      </c>
      <c r="F14" s="32" t="n">
        <f aca="false">E14*Inputs!$B$8</f>
        <v>53100</v>
      </c>
      <c r="G14" s="45" t="n">
        <f aca="false">F14*Inputs!$B$13</f>
        <v>178309.8</v>
      </c>
      <c r="H14" s="52" t="n">
        <f aca="false">Fixes!AD14</f>
        <v>60000</v>
      </c>
      <c r="I14" s="52" t="n">
        <f aca="false">Fixes!AE14</f>
        <v>35000</v>
      </c>
      <c r="J14" s="45" t="n">
        <f aca="false">H14/Inputs!$B$14+I14</f>
        <v>55000</v>
      </c>
      <c r="K14" s="53" t="n">
        <f aca="false">G14-J14</f>
        <v>123309.8</v>
      </c>
      <c r="L14" s="40" t="n">
        <f aca="false">IF(H14=0,0,IF(G14-I14&gt;0,H14/((G14-I14)/12),"n/a"))</f>
        <v>5.02408069790063</v>
      </c>
      <c r="M14" s="44" t="n">
        <f aca="false">INDEX(SimResults!$G$5:$G$16,MATCH($A14,SimResults!$A$5:$A$16,0))/SimResults!$G$5-1</f>
        <v>-0.941696310357479</v>
      </c>
      <c r="N14" s="54" t="n">
        <f aca="false">INDEX(SimResults!$H$5:$H$16,MATCH($A14,SimResults!$A$5:$A$16,0))</f>
        <v>3.51</v>
      </c>
      <c r="O14" s="41" t="n">
        <f aca="false">Fixes!Z14</f>
        <v>10000</v>
      </c>
      <c r="P14" s="41" t="n">
        <f aca="false">Inputs!$B$7</f>
        <v>10000</v>
      </c>
      <c r="Q14" s="20" t="n">
        <f aca="false">RANK(K14,$K$5:$K$16,0)</f>
        <v>3</v>
      </c>
      <c r="R14" s="45" t="n">
        <f aca="false">K14*Inputs!$B$15</f>
        <v>1233098</v>
      </c>
    </row>
    <row r="15" customFormat="false" ht="30" hidden="false" customHeight="true" outlineLevel="0" collapsed="false">
      <c r="A15" s="50" t="str">
        <f aca="false">Fixes!A15</f>
        <v>C10</v>
      </c>
      <c r="B15" s="51" t="str">
        <f aca="false">Fixes!B15</f>
        <v>Capex route: DBR + third line</v>
      </c>
      <c r="C15" s="41" t="n">
        <f aca="false">INDEX(SimResults!$D$5:$D$16,MATCH($A15,SimResults!$A$5:$A$16,0))</f>
        <v>9999.4</v>
      </c>
      <c r="D15" s="32" t="n">
        <f aca="false">MIN(C15,Inputs!$B$7)</f>
        <v>9999.4</v>
      </c>
      <c r="E15" s="32" t="n">
        <f aca="false">D15-$D$5</f>
        <v>1061.4</v>
      </c>
      <c r="F15" s="32" t="n">
        <f aca="false">E15*Inputs!$B$8</f>
        <v>53070</v>
      </c>
      <c r="G15" s="45" t="n">
        <f aca="false">F15*Inputs!$B$13</f>
        <v>178209.06</v>
      </c>
      <c r="H15" s="52" t="n">
        <f aca="false">Fixes!AD15</f>
        <v>460000</v>
      </c>
      <c r="I15" s="52" t="n">
        <f aca="false">Fixes!AE15</f>
        <v>90000</v>
      </c>
      <c r="J15" s="45" t="n">
        <f aca="false">H15/Inputs!$B$14+I15</f>
        <v>243333.333333333</v>
      </c>
      <c r="K15" s="53" t="n">
        <f aca="false">G15-J15</f>
        <v>-65124.2733333334</v>
      </c>
      <c r="L15" s="40" t="n">
        <f aca="false">IF(H15=0,0,IF(G15-I15&gt;0,H15/((G15-I15)/12),"n/a"))</f>
        <v>62.5786058710976</v>
      </c>
      <c r="M15" s="44" t="n">
        <f aca="false">INDEX(SimResults!$G$5:$G$16,MATCH($A15,SimResults!$A$5:$A$16,0))/SimResults!$G$5-1</f>
        <v>-0.947135861155865</v>
      </c>
      <c r="N15" s="54" t="n">
        <f aca="false">INDEX(SimResults!$H$5:$H$16,MATCH($A15,SimResults!$A$5:$A$16,0))</f>
        <v>3.18</v>
      </c>
      <c r="O15" s="41" t="n">
        <f aca="false">Fixes!Z15</f>
        <v>10000</v>
      </c>
      <c r="P15" s="41" t="n">
        <f aca="false">Inputs!$B$7</f>
        <v>10000</v>
      </c>
      <c r="Q15" s="20" t="n">
        <f aca="false">RANK(K15,$K$5:$K$16,0)</f>
        <v>11</v>
      </c>
      <c r="R15" s="45" t="n">
        <f aca="false">K15*Inputs!$B$15</f>
        <v>-651242.733333334</v>
      </c>
    </row>
    <row r="16" customFormat="false" ht="30" hidden="false" customHeight="true" outlineLevel="0" collapsed="false">
      <c r="A16" s="50" t="str">
        <f aca="false">Fixes!A16</f>
        <v>C11</v>
      </c>
      <c r="B16" s="51" t="str">
        <f aca="false">Fixes!B16</f>
        <v>All fixes</v>
      </c>
      <c r="C16" s="41" t="n">
        <f aca="false">INDEX(SimResults!$D$5:$D$16,MATCH($A16,SimResults!$A$5:$A$16,0))</f>
        <v>10000.9</v>
      </c>
      <c r="D16" s="32" t="n">
        <f aca="false">MIN(C16,Inputs!$B$7)</f>
        <v>10000</v>
      </c>
      <c r="E16" s="32" t="n">
        <f aca="false">D16-$D$5</f>
        <v>1062</v>
      </c>
      <c r="F16" s="32" t="n">
        <f aca="false">E16*Inputs!$B$8</f>
        <v>53100</v>
      </c>
      <c r="G16" s="45" t="n">
        <f aca="false">F16*Inputs!$B$13</f>
        <v>178309.8</v>
      </c>
      <c r="H16" s="52" t="n">
        <f aca="false">Fixes!AD16</f>
        <v>530000</v>
      </c>
      <c r="I16" s="52" t="n">
        <f aca="false">Fixes!AE16</f>
        <v>305000</v>
      </c>
      <c r="J16" s="45" t="n">
        <f aca="false">H16/Inputs!$B$14+I16</f>
        <v>481666.666666667</v>
      </c>
      <c r="K16" s="53" t="n">
        <f aca="false">G16-J16</f>
        <v>-303356.866666667</v>
      </c>
      <c r="L16" s="40" t="str">
        <f aca="false">IF(H16=0,0,IF(G16-I16&gt;0,H16/((G16-I16)/12),"n/a"))</f>
        <v>n/a</v>
      </c>
      <c r="M16" s="44" t="n">
        <f aca="false">INDEX(SimResults!$G$5:$G$16,MATCH($A16,SimResults!$A$5:$A$16,0))/SimResults!$G$5-1</f>
        <v>-0.955909330185519</v>
      </c>
      <c r="N16" s="54" t="n">
        <f aca="false">INDEX(SimResults!$H$5:$H$16,MATCH($A16,SimResults!$A$5:$A$16,0))</f>
        <v>2.65</v>
      </c>
      <c r="O16" s="41" t="n">
        <f aca="false">Fixes!Z16</f>
        <v>10000</v>
      </c>
      <c r="P16" s="41" t="n">
        <f aca="false">Inputs!$B$7</f>
        <v>10000</v>
      </c>
      <c r="Q16" s="20" t="n">
        <f aca="false">RANK(K16,$K$5:$K$16,0)</f>
        <v>12</v>
      </c>
      <c r="R16" s="45" t="n">
        <f aca="false">K16*Inputs!$B$15</f>
        <v>-3033568.66666667</v>
      </c>
    </row>
    <row r="18" customFormat="false" ht="15" hidden="false" customHeight="false" outlineLevel="0" collapsed="false">
      <c r="A18" s="2" t="s">
        <v>230</v>
      </c>
    </row>
  </sheetData>
  <conditionalFormatting sqref="K5:K16">
    <cfRule type="expression" priority="2" aboveAverage="0" equalAverage="0" bottom="0" percent="0" rank="0" text="" dxfId="0">
      <formula>K5&lt;0</formula>
    </cfRule>
    <cfRule type="expression" priority="3" aboveAverage="0" equalAverage="0" bottom="0" percent="0" rank="0" text="" dxfId="2">
      <formula>K5&gt;0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70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231</v>
      </c>
    </row>
    <row r="2" customFormat="false" ht="15" hidden="false" customHeight="false" outlineLevel="0" collapsed="false">
      <c r="A2" s="2" t="s">
        <v>232</v>
      </c>
    </row>
    <row r="4" customFormat="false" ht="15" hidden="false" customHeight="false" outlineLevel="0" collapsed="false">
      <c r="A4" s="19" t="s">
        <v>233</v>
      </c>
      <c r="B4" s="19" t="s">
        <v>234</v>
      </c>
      <c r="C4" s="19" t="s">
        <v>235</v>
      </c>
      <c r="D4" s="19" t="s">
        <v>236</v>
      </c>
    </row>
    <row r="5" customFormat="false" ht="33.75" hidden="false" customHeight="true" outlineLevel="0" collapsed="false">
      <c r="A5" s="38" t="s">
        <v>237</v>
      </c>
      <c r="B5" s="38" t="s">
        <v>238</v>
      </c>
      <c r="C5" s="38" t="s">
        <v>239</v>
      </c>
      <c r="D5" s="38" t="s">
        <v>240</v>
      </c>
    </row>
    <row r="6" customFormat="false" ht="33.75" hidden="false" customHeight="true" outlineLevel="0" collapsed="false">
      <c r="A6" s="38" t="s">
        <v>241</v>
      </c>
      <c r="B6" s="38" t="s">
        <v>242</v>
      </c>
      <c r="C6" s="38" t="s">
        <v>243</v>
      </c>
      <c r="D6" s="38" t="s">
        <v>244</v>
      </c>
    </row>
    <row r="7" customFormat="false" ht="33.75" hidden="false" customHeight="true" outlineLevel="0" collapsed="false">
      <c r="A7" s="38" t="s">
        <v>245</v>
      </c>
      <c r="B7" s="38" t="s">
        <v>246</v>
      </c>
      <c r="C7" s="38" t="s">
        <v>247</v>
      </c>
      <c r="D7" s="38" t="s">
        <v>248</v>
      </c>
    </row>
    <row r="8" customFormat="false" ht="33.75" hidden="false" customHeight="true" outlineLevel="0" collapsed="false">
      <c r="A8" s="38" t="s">
        <v>249</v>
      </c>
      <c r="B8" s="38" t="s">
        <v>250</v>
      </c>
      <c r="C8" s="38" t="s">
        <v>251</v>
      </c>
      <c r="D8" s="38" t="s">
        <v>252</v>
      </c>
    </row>
    <row r="9" customFormat="false" ht="33.75" hidden="false" customHeight="true" outlineLevel="0" collapsed="false">
      <c r="A9" s="38" t="s">
        <v>253</v>
      </c>
      <c r="B9" s="38" t="s">
        <v>254</v>
      </c>
      <c r="C9" s="38" t="s">
        <v>255</v>
      </c>
      <c r="D9" s="38" t="s">
        <v>256</v>
      </c>
    </row>
    <row r="10" customFormat="false" ht="33.75" hidden="false" customHeight="true" outlineLevel="0" collapsed="false">
      <c r="A10" s="38" t="s">
        <v>257</v>
      </c>
      <c r="B10" s="38" t="s">
        <v>258</v>
      </c>
      <c r="C10" s="38" t="s">
        <v>259</v>
      </c>
      <c r="D10" s="38" t="s">
        <v>260</v>
      </c>
    </row>
    <row r="11" customFormat="false" ht="33.75" hidden="false" customHeight="true" outlineLevel="0" collapsed="false">
      <c r="A11" s="38" t="s">
        <v>261</v>
      </c>
      <c r="B11" s="38" t="s">
        <v>262</v>
      </c>
      <c r="C11" s="38" t="s">
        <v>263</v>
      </c>
      <c r="D11" s="38" t="s">
        <v>264</v>
      </c>
    </row>
    <row r="12" customFormat="false" ht="33.75" hidden="false" customHeight="true" outlineLevel="0" collapsed="false">
      <c r="A12" s="43" t="s">
        <v>265</v>
      </c>
      <c r="B12" s="38" t="s">
        <v>266</v>
      </c>
      <c r="C12" s="38" t="s">
        <v>267</v>
      </c>
      <c r="D12" s="38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2026-10-22T21:07:25Z</dcterms:created>
  <dc:creator>openpyxl</dc:creator>
  <dc:description/>
  <dc:language>en-US</dc:language>
  <cp:lastModifiedBy/>
  <dcterms:modified xsi:type="dcterms:W3CDTF">2026-10-22T21:07:28Z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